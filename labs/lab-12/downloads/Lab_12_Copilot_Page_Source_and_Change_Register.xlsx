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a4d32e271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9ff10b0b2e14ab4"/>
    <x:sheet xmlns:r="http://schemas.openxmlformats.org/officeDocument/2006/relationships" name="Source Register" sheetId="2" r:id="R156aaa9ccf904240"/>
    <x:sheet xmlns:r="http://schemas.openxmlformats.org/officeDocument/2006/relationships" name="Claim Review" sheetId="3" r:id="R2410855f0cfa41d0"/>
    <x:sheet xmlns:r="http://schemas.openxmlformats.org/officeDocument/2006/relationships" name="Collaboration Changes" sheetId="4" r:id="Rb38e09cec711448c"/>
    <x:sheet xmlns:r="http://schemas.openxmlformats.org/officeDocument/2006/relationships" name="Release Check" sheetId="5" r:id="R015a9af485264ce5"/>
    <x:sheet xmlns:r="http://schemas.openxmlformats.org/officeDocument/2006/relationships" name="Lists" sheetId="6" r:id="R60da4e031f96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142B4A"/>
      <x:name val="Carlito"/>
    </x:font>
    <x:font>
      <x:b/>
      <x:sz val="11"/>
      <x:color rgb="FFFFFFFF"/>
      <x:name val="Carlito"/>
    </x:font>
    <x:font>
      <x:sz val="9"/>
      <x:color rgb="FF202124"/>
      <x:name val="Carlito"/>
    </x:font>
    <x:font>
      <x:b/>
      <x:sz val="11"/>
      <x:color rgb="FF142B4A"/>
      <x:name val="Carlito"/>
    </x:font>
    <x:font>
      <x:b/>
      <x:sz val="9"/>
      <x:color rgb="FF202124"/>
      <x:name val="Carlito"/>
    </x:font>
    <x:font>
      <x:b/>
      <x:sz val="14"/>
      <x:color rgb="FF142B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EAF3F8"/>
      </x:patternFill>
    </x:fill>
    <x:fill>
      <x:patternFill patternType="solid">
        <x:fgColor rgb="FF0078D4"/>
      </x:patternFill>
    </x:fill>
    <x:fill>
      <x:patternFill patternType="solid">
        <x:fgColor rgb="FFFFF4CE"/>
      </x:patternFill>
    </x:fill>
  </x:fills>
  <x:borders count="12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  <x:border>
      <x:left style="medium">
        <x:color rgb="FF0078D4"/>
      </x:left>
      <x:top style="medium">
        <x:color rgb="FF0078D4"/>
      </x:top>
    </x:border>
    <x:border>
      <x:top style="medium">
        <x:color rgb="FF0078D4"/>
      </x:top>
    </x:border>
    <x:border>
      <x:right style="medium">
        <x:color rgb="FF0078D4"/>
      </x:right>
      <x:top style="medium">
        <x:color rgb="FF0078D4"/>
      </x:top>
    </x:border>
    <x:border>
      <x:left style="medium">
        <x:color rgb="FF0078D4"/>
      </x:left>
    </x:border>
    <x:border>
      <x:right style="medium">
        <x:color rgb="FF0078D4"/>
      </x:right>
    </x:border>
    <x:border>
      <x:left style="medium">
        <x:color rgb="FF0078D4"/>
      </x:left>
      <x:bottom style="medium">
        <x:color rgb="FF0078D4"/>
      </x:bottom>
    </x:border>
    <x:border>
      <x:bottom style="medium">
        <x:color rgb="FF0078D4"/>
      </x:bottom>
    </x:border>
    <x:border>
      <x:right style="medium">
        <x:color rgb="FF0078D4"/>
      </x:right>
      <x:bottom style="medium">
        <x:color rgb="FF0078D4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horizontal="center" wrapText="1"/>
    </x:xf>
    <x:xf numFmtId="0" fontId="7" fillId="5" borderId="5" xfId="0" applyNumberFormat="1" applyFont="1" applyFill="1" applyBorder="1" applyAlignment="1">
      <x:alignment horizontal="center" wrapText="1"/>
    </x:xf>
    <x:xf numFmtId="0" fontId="7" fillId="5" borderId="6" xfId="0" applyNumberFormat="1" applyFont="1" applyFill="1" applyBorder="1" applyAlignment="1">
      <x:alignment horizontal="center"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horizontal="center" wrapText="1"/>
    </x:xf>
    <x:xf numFmtId="0" fontId="7" fillId="5" borderId="10" xfId="0" applyNumberFormat="1" applyFont="1" applyFill="1" applyBorder="1" applyAlignment="1">
      <x:alignment horizontal="center" wrapText="1"/>
    </x:xf>
    <x:xf numFmtId="0" fontId="7" fillId="5" borderId="11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0B6A53"/>
      </x:font>
      <x:fill>
        <x:patternFill patternType="solid">
          <x:bgColor rgb="FFDFF3E8"/>
        </x:patternFill>
      </x:fill>
    </x:dxf>
    <x:dxf>
      <x:font>
        <x:color rgb="FF7A5A00"/>
      </x:font>
      <x:fill>
        <x:patternFill patternType="solid">
          <x:bgColor rgb="FFFFF4CE"/>
        </x:patternFill>
      </x:fill>
    </x:dxf>
    <x:dxf>
      <x:font>
        <x:b/>
        <x:color rgb="FF0B6A53"/>
      </x:font>
      <x:fill>
        <x:patternFill patternType="solid">
          <x:bgColor rgb="FFDFF3E8"/>
        </x:patternFill>
      </x:fill>
    </x:dxf>
    <x:dxf>
      <x:font>
        <x:color rgb="FF8A1C16"/>
      </x:font>
      <x:fill>
        <x:patternFill patternType="solid">
          <x:bgColor rgb="FFFDE7E5"/>
        </x:patternFill>
      </x:fill>
    </x:dxf>
    <x:dxf>
      <x:font>
        <x:color rgb="FF7A5A00"/>
      </x:font>
      <x:fill>
        <x:patternFill patternType="solid">
          <x:bgColor rgb="FFFFF4CE"/>
        </x:patternFill>
      </x:fill>
    </x:dxf>
    <x:dxf>
      <x:font>
        <x:b/>
        <x:color rgb="FF0B6A53"/>
      </x:font>
      <x:fill>
        <x:patternFill patternType="solid">
          <x:bgColor rgb="FFDFF3E8"/>
        </x:patternFill>
      </x:fill>
    </x:dxf>
    <x:dxf>
      <x:font>
        <x:color rgb="FF7A5A00"/>
      </x:font>
      <x:fill>
        <x:patternFill patternType="solid">
          <x:bgColor rgb="FFFFF4CE"/>
        </x:patternFill>
      </x:fill>
    </x:dxf>
    <x:dxf>
      <x:font>
        <x:b/>
        <x:color rgb="FF0B6A53"/>
      </x:font>
      <x:fill>
        <x:patternFill patternType="solid">
          <x:bgColor rgb="FFDFF3E8"/>
        </x:patternFill>
      </x:fill>
    </x:dxf>
    <x:dxf>
      <x:font>
        <x:b/>
        <x:color rgb="FF8A1C16"/>
      </x:font>
      <x:fill>
        <x:patternFill patternType="solid">
          <x:bgColor rgb="FFFDE7E5"/>
        </x:patternFill>
      </x:fill>
    </x:dxf>
    <x:dxf>
      <x:font>
        <x:b/>
        <x:color rgb="FF0B6A53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145cf27a04dcc" /><Relationship Type="http://schemas.openxmlformats.org/officeDocument/2006/relationships/theme" Target="/xl/theme/theme1.xml" Id="R6f21fe7eb7464a8a" /><Relationship Type="http://schemas.openxmlformats.org/officeDocument/2006/relationships/sharedStrings" Target="/xl/sharedStrings.xml" Id="R597a68b86dc948da" /><Relationship Type="http://schemas.openxmlformats.org/officeDocument/2006/relationships/worksheet" Target="/xl/worksheets/sheet1.xml" Id="R19ff10b0b2e14ab4" /><Relationship Type="http://schemas.openxmlformats.org/officeDocument/2006/relationships/worksheet" Target="/xl/worksheets/sheet2.xml" Id="R156aaa9ccf904240" /><Relationship Type="http://schemas.openxmlformats.org/officeDocument/2006/relationships/worksheet" Target="/xl/worksheets/sheet3.xml" Id="R2410855f0cfa41d0" /><Relationship Type="http://schemas.openxmlformats.org/officeDocument/2006/relationships/worksheet" Target="/xl/worksheets/sheet4.xml" Id="Rb38e09cec711448c" /><Relationship Type="http://schemas.openxmlformats.org/officeDocument/2006/relationships/worksheet" Target="/xl/worksheets/sheet5.xml" Id="R015a9af485264ce5" /><Relationship Type="http://schemas.openxmlformats.org/officeDocument/2006/relationships/worksheet" Target="/xl/worksheets/sheet6.xml" Id="R60da4e031f96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3" hidden="0" customWidth="1"/>
    <x:col min="3" max="3" width="43" hidden="0" customWidth="1"/>
    <x:col min="4" max="4" width="22" hidden="0" customWidth="1"/>
    <x:col min="5" max="5" width="17" hidden="0" customWidth="1"/>
    <x:col min="6" max="6" width="28" hidden="0" customWidth="1"/>
    <x:col min="7" max="7" width="3" hidden="0" customWidth="1"/>
    <x:col min="8" max="8" width="3" hidden="0" customWidth="1"/>
  </x:cols>
  <x:sheetData>
    <x:row r="1" ht="28" customHeight="1">
      <x:c r="A1" s="3" t="str">
        <x:v>Lab 12 - Copilot Pages Collaboration Register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Use this workbook to verify sources, review Page claims, control collaborative edits and release only approved content.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0" t="str">
        <x:v>Step</x:v>
      </x:c>
      <x:c r="B4" s="10" t="str">
        <x:v>Instruction</x:v>
      </x:c>
      <x:c r="C4" s="10" t="str">
        <x:v>Why it matters</x:v>
      </x:c>
      <x:c r="D4" s="10" t="str">
        <x:v>Owner</x:v>
      </x:c>
      <x:c r="E4" s="10" t="str">
        <x:v>Status</x:v>
      </x:c>
      <x:c r="F4" s="10" t="str">
        <x:v>Evidence</x:v>
      </x:c>
      <x:c r="G4" s="10" t="str"/>
      <x:c r="H4" s="10" t="str"/>
    </x:row>
    <x:row r="5">
      <x:c r="A5" s="18" t="str">
        <x:v>1</x:v>
      </x:c>
      <x:c r="B5" s="18" t="str">
        <x:v>Review the six Project Nova sources and rank their authority.</x:v>
      </x:c>
      <x:c r="C5" s="18" t="str">
        <x:v>Prevents transcripts and preferences from overriding decisions.</x:v>
      </x:c>
      <x:c r="D5" s="18" t="str">
        <x:v>Participant</x:v>
      </x:c>
      <x:c r="E5" s="18" t="str">
        <x:v>Not started</x:v>
      </x:c>
      <x:c r="F5" s="18" t="str"/>
      <x:c r="G5" s="18" t="str"/>
      <x:c r="H5" s="18" t="str"/>
    </x:row>
    <x:row r="6">
      <x:c r="A6" s="19" t="str">
        <x:v>2</x:v>
      </x:c>
      <x:c r="B6" s="19" t="str">
        <x:v>Ask Copilot in Excel to populate Claim Review directly from the verified Page and attached sources.</x:v>
      </x:c>
      <x:c r="C6" s="19" t="str">
        <x:v>Avoids manually copying generated claims.</x:v>
      </x:c>
      <x:c r="D6" s="19" t="str">
        <x:v>Participant</x:v>
      </x:c>
      <x:c r="E6" s="19" t="str">
        <x:v>Not started</x:v>
      </x:c>
      <x:c r="F6" s="19" t="str"/>
      <x:c r="G6" s="19" t="str"/>
      <x:c r="H6" s="19" t="str"/>
    </x:row>
    <x:row r="7">
      <x:c r="A7" s="19" t="str">
        <x:v>3</x:v>
      </x:c>
      <x:c r="B7" s="19" t="str">
        <x:v>Verify each source, value and evidence label.</x:v>
      </x:c>
      <x:c r="C7" s="19" t="str">
        <x:v>Copilot output is not approval.</x:v>
      </x:c>
      <x:c r="D7" s="19" t="str">
        <x:v>Human reviewer</x:v>
      </x:c>
      <x:c r="E7" s="19" t="str">
        <x:v>Not started</x:v>
      </x:c>
      <x:c r="F7" s="19" t="str"/>
      <x:c r="G7" s="19" t="str"/>
      <x:c r="H7" s="19" t="str"/>
    </x:row>
    <x:row r="8">
      <x:c r="A8" s="19" t="str">
        <x:v>4</x:v>
      </x:c>
      <x:c r="B8" s="19" t="str">
        <x:v>Record only authorized collaborative changes in Collaboration Changes.</x:v>
      </x:c>
      <x:c r="C8" s="19" t="str">
        <x:v>Creates a visible change trail.</x:v>
      </x:c>
      <x:c r="D8" s="19" t="str">
        <x:v>Editor / reviewer</x:v>
      </x:c>
      <x:c r="E8" s="19" t="str">
        <x:v>Not started</x:v>
      </x:c>
      <x:c r="F8" s="19" t="str"/>
      <x:c r="G8" s="19" t="str"/>
      <x:c r="H8" s="19" t="str"/>
    </x:row>
    <x:row r="9">
      <x:c r="A9" s="19" t="str">
        <x:v>5</x:v>
      </x:c>
      <x:c r="B9" s="19" t="str">
        <x:v>Complete the one-change test using Status Report v5.</x:v>
      </x:c>
      <x:c r="C9" s="19" t="str">
        <x:v>Confirms that one source change does not rewrite unrelated content.</x:v>
      </x:c>
      <x:c r="D9" s="19" t="str">
        <x:v>Participant</x:v>
      </x:c>
      <x:c r="E9" s="19" t="str">
        <x:v>Not started</x:v>
      </x:c>
      <x:c r="F9" s="19" t="str"/>
      <x:c r="G9" s="19" t="str"/>
      <x:c r="H9" s="19" t="str"/>
    </x:row>
    <x:row r="10">
      <x:c r="A10" s="20" t="str">
        <x:v>6</x:v>
      </x:c>
      <x:c r="B10" s="20" t="str">
        <x:v>Use Release Check before Create &gt; Document or PDF.</x:v>
      </x:c>
      <x:c r="C10" s="20" t="str">
        <x:v>Only released Page scope may enter the formal record.</x:v>
      </x:c>
      <x:c r="D10" s="20" t="str">
        <x:v>Decision owner</x:v>
      </x:c>
      <x:c r="E10" s="20" t="str">
        <x:v>Not started</x:v>
      </x:c>
      <x:c r="F10" s="20" t="str"/>
      <x:c r="G10" s="20" t="str"/>
      <x:c r="H10" s="20" t="str"/>
    </x:row>
  </x:sheetData>
  <x:mergeCells>
    <x:mergeCell ref="A1:H1"/>
    <x:mergeCell ref="A2:H2"/>
  </x:mergeCells>
  <x:dataValidations count="1">
    <x:dataValidation type="list" sqref="E5:E10">
      <x:formula1>"Not started,In progress,Complete,Blocked"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4" hidden="0" customWidth="1"/>
    <x:col min="3" max="3" width="25" hidden="0" customWidth="1"/>
    <x:col min="4" max="4" width="15" hidden="0" customWidth="1"/>
    <x:col min="5" max="5" width="15" hidden="0" customWidth="1"/>
    <x:col min="6" max="6" width="48" hidden="0" customWidth="1"/>
    <x:col min="7" max="7" width="29" hidden="0" customWidth="1"/>
    <x:col min="8" max="8" width="20" hidden="0" customWidth="1"/>
  </x:cols>
  <x:sheetData>
    <x:row r="1" ht="28" customHeight="1">
      <x:c r="A1" s="3" t="str">
        <x:v>Source Register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Authority is evaluated source by source and claim by claim. A newer message is not automatically more authoritative.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0" t="str">
        <x:v>Source ID</x:v>
      </x:c>
      <x:c r="B4" s="10" t="str">
        <x:v>File</x:v>
      </x:c>
      <x:c r="C4" s="10" t="str">
        <x:v>Source type</x:v>
      </x:c>
      <x:c r="D4" s="10" t="str">
        <x:v>Authority rank</x:v>
      </x:c>
      <x:c r="E4" s="10" t="str">
        <x:v>Status</x:v>
      </x:c>
      <x:c r="F4" s="10" t="str">
        <x:v>Permitted use</x:v>
      </x:c>
      <x:c r="G4" s="10" t="str">
        <x:v>Human owner</x:v>
      </x:c>
      <x:c r="H4" s="10" t="str">
        <x:v>Review status</x:v>
      </x:c>
    </x:row>
    <x:row r="5">
      <x:c r="A5" s="18" t="str">
        <x:v>S1</x:v>
      </x:c>
      <x:c r="B5" s="18" t="str">
        <x:v>03_Project_Nova_Approved_Decision_Record_D031.docx</x:v>
      </x:c>
      <x:c r="C5" s="18" t="str">
        <x:v>Approved decision</x:v>
      </x:c>
      <x:c r="D5" s="18" t="str">
        <x:v>1</x:v>
      </x:c>
      <x:c r="E5" s="18" t="str">
        <x:v>Approved</x:v>
      </x:c>
      <x:c r="F5" s="18" t="str">
        <x:v>UAT scope, entry conditions and exclusions</x:v>
      </x:c>
      <x:c r="G5" s="18" t="str">
        <x:v>Project Nova Steering Committee</x:v>
      </x:c>
      <x:c r="H5" s="18" t="str">
        <x:v>Verified</x:v>
      </x:c>
    </x:row>
    <x:row r="6">
      <x:c r="A6" s="19" t="str">
        <x:v>S2</x:v>
      </x:c>
      <x:c r="B6" s="19" t="str">
        <x:v>01_Project_Nova_Approved_Status_Report_v4.docx</x:v>
      </x:c>
      <x:c r="C6" s="19" t="str">
        <x:v>Approved report</x:v>
      </x:c>
      <x:c r="D6" s="19" t="str">
        <x:v>2</x:v>
      </x:c>
      <x:c r="E6" s="19" t="str">
        <x:v>Approved</x:v>
      </x:c>
      <x:c r="F6" s="19" t="str">
        <x:v>Status, budget, defects, security checks and target-date label</x:v>
      </x:c>
      <x:c r="G6" s="19" t="str">
        <x:v>Elena Rossi</x:v>
      </x:c>
      <x:c r="H6" s="19" t="str">
        <x:v>Verified</x:v>
      </x:c>
    </x:row>
    <x:row r="7">
      <x:c r="A7" s="19" t="str">
        <x:v>S3</x:v>
      </x:c>
      <x:c r="B7" s="19" t="str">
        <x:v>02_Project_Nova_Approved_Risk_Register.docx</x:v>
      </x:c>
      <x:c r="C7" s="19" t="str">
        <x:v>Approved register</x:v>
      </x:c>
      <x:c r="D7" s="19" t="str">
        <x:v>2</x:v>
      </x:c>
      <x:c r="E7" s="19" t="str">
        <x:v>Approved</x:v>
      </x:c>
      <x:c r="F7" s="19" t="str">
        <x:v>Risks, ratings, owners and due dates</x:v>
      </x:c>
      <x:c r="G7" s="19" t="str">
        <x:v>Elena Rossi</x:v>
      </x:c>
      <x:c r="H7" s="19" t="str">
        <x:v>Verified</x:v>
      </x:c>
    </x:row>
    <x:row r="8">
      <x:c r="A8" s="19" t="str">
        <x:v>S4</x:v>
      </x:c>
      <x:c r="B8" s="19" t="str">
        <x:v>05_Project_Nova_Post_Meeting_Teams_Chat.docx</x:v>
      </x:c>
      <x:c r="C8" s="19" t="str">
        <x:v>Mixed-authority chat</x:v>
      </x:c>
      <x:c r="D8" s="19" t="str">
        <x:v>3</x:v>
      </x:c>
      <x:c r="E8" s="19" t="str">
        <x:v>Mixed</x:v>
      </x:c>
      <x:c r="F8" s="19" t="str">
        <x:v>Named-owner corrections and explicit clarifications only</x:v>
      </x:c>
      <x:c r="G8" s="19" t="str">
        <x:v>Claim author / relevant owner</x:v>
      </x:c>
      <x:c r="H8" s="19" t="str">
        <x:v>Review required</x:v>
      </x:c>
    </x:row>
    <x:row r="9">
      <x:c r="A9" s="19" t="str">
        <x:v>S5</x:v>
      </x:c>
      <x:c r="B9" s="19" t="str">
        <x:v>04_Project_Nova_Weekly_Review_Transcript.docx</x:v>
      </x:c>
      <x:c r="C9" s="19" t="str">
        <x:v>Unreviewed transcript</x:v>
      </x:c>
      <x:c r="D9" s="19" t="str">
        <x:v>4</x:v>
      </x:c>
      <x:c r="E9" s="19" t="str">
        <x:v>Unreviewed</x:v>
      </x:c>
      <x:c r="F9" s="19" t="str">
        <x:v>Discussion context and explicit commitments; not approval</x:v>
      </x:c>
      <x:c r="G9" s="19" t="str">
        <x:v>Meeting chair</x:v>
      </x:c>
      <x:c r="H9" s="19" t="str">
        <x:v>Review required</x:v>
      </x:c>
    </x:row>
    <x:row r="10">
      <x:c r="A10" s="20" t="str">
        <x:v>S6</x:v>
      </x:c>
      <x:c r="B10" s="20" t="str">
        <x:v>06_Project_Nova_Approved_Status_Report_v5_Replacement.docx</x:v>
      </x:c>
      <x:c r="C10" s="20" t="str">
        <x:v>Approved replacement report</x:v>
      </x:c>
      <x:c r="D10" s="20" t="str">
        <x:v>2</x:v>
      </x:c>
      <x:c r="E10" s="20" t="str">
        <x:v>Approved</x:v>
      </x:c>
      <x:c r="F10" s="20" t="str">
        <x:v>One-change test only; replaces S2 after approval</x:v>
      </x:c>
      <x:c r="G10" s="20" t="str">
        <x:v>Elena Rossi</x:v>
      </x:c>
      <x:c r="H10" s="20" t="str">
        <x:v>Verified</x:v>
      </x:c>
    </x:row>
  </x:sheetData>
  <x:mergeCells>
    <x:mergeCell ref="A1:H1"/>
    <x:mergeCell ref="A2:H2"/>
  </x:mergeCells>
  <x:conditionalFormatting sqref="H5:H10">
    <x:cfRule type="containsText" dxfId="0" priority="1" operator="containsText" text="Verified"/>
    <x:cfRule type="containsText" dxfId="1" priority="2" operator="containsText" text="Review required"/>
  </x:conditionalFormatting>
  <x:dataValidations count="1">
    <x:dataValidation type="list" sqref="H5:H10">
      <x:formula1>"Not reviewed,Review required,Verified,Rejected"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1" hidden="0" customWidth="1"/>
    <x:col min="4" max="4" width="30" hidden="0" customWidth="1"/>
    <x:col min="5" max="5" width="14" hidden="0" customWidth="1"/>
    <x:col min="6" max="6" width="34" hidden="0" customWidth="1"/>
    <x:col min="7" max="7" width="34" hidden="0" customWidth="1"/>
    <x:col min="8" max="8" width="18" hidden="0" customWidth="1"/>
    <x:col min="9" max="9" width="23" hidden="0" customWidth="1"/>
    <x:col min="10" max="10" width="19" hidden="0" customWidth="1"/>
    <x:col min="11" max="11" width="18" hidden="0" customWidth="1"/>
    <x:col min="12" max="12" width="35" hidden="0" customWidth="1"/>
  </x:cols>
  <x:sheetData>
    <x:row r="1" ht="28" customHeight="1">
      <x:c r="A1" s="3" t="str">
        <x:v>Page Claim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Copilot may populate extracted claims directly. A human must verify authority, evidence status and release eligibility.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0" t="str">
        <x:v>Claim ID</x:v>
      </x:c>
      <x:c r="B4" s="10" t="str">
        <x:v>Page section</x:v>
      </x:c>
      <x:c r="C4" s="10" t="str">
        <x:v>Claim</x:v>
      </x:c>
      <x:c r="D4" s="10" t="str">
        <x:v>Page value</x:v>
      </x:c>
      <x:c r="E4" s="10" t="str">
        <x:v>Source ID</x:v>
      </x:c>
      <x:c r="F4" s="10" t="str">
        <x:v>Source location</x:v>
      </x:c>
      <x:c r="G4" s="10" t="str">
        <x:v>Authority</x:v>
      </x:c>
      <x:c r="H4" s="10" t="str">
        <x:v>Evidence label</x:v>
      </x:c>
      <x:c r="I4" s="10" t="str">
        <x:v>Human reviewer</x:v>
      </x:c>
      <x:c r="J4" s="10" t="str">
        <x:v>Review decision</x:v>
      </x:c>
      <x:c r="K4" s="10" t="str">
        <x:v>Release eligible</x:v>
      </x:c>
      <x:c r="L4" s="10" t="str">
        <x:v>Notes</x:v>
      </x:c>
    </x:row>
    <x:row r="5">
      <x:c r="A5" s="18" t="str">
        <x:v>C-01</x:v>
      </x:c>
      <x:c r="B5" s="18" t="str">
        <x:v>Confirmed facts</x:v>
      </x:c>
      <x:c r="C5" s="18" t="str">
        <x:v>Overall status</x:v>
      </x:c>
      <x:c r="D5" s="18" t="str">
        <x:v>Amber</x:v>
      </x:c>
      <x:c r="E5" s="18" t="str">
        <x:v>S2</x:v>
      </x:c>
      <x:c r="F5" s="18" t="str">
        <x:v>Executive position / measure table</x:v>
      </x:c>
      <x:c r="G5" s="18" t="str">
        <x:v>Approved report</x:v>
      </x:c>
      <x:c r="H5" s="18" t="str">
        <x:v>Confirmed</x:v>
      </x:c>
      <x:c r="I5" s="18" t="str"/>
      <x:c r="J5" s="18" t="str">
        <x:v>Pending</x:v>
      </x:c>
      <x:c r="K5" s="18" t="str">
        <x:f>IF(AND(J5="Approve claim",I5&lt;&gt;"",H5&lt;&gt;"Not confirmed"),"Yes","No")</x:f>
        <x:v>No</x:v>
      </x:c>
      <x:c r="L5" s="18" t="str"/>
    </x:row>
    <x:row r="6">
      <x:c r="A6" s="19" t="str">
        <x:v>C-02</x:v>
      </x:c>
      <x:c r="B6" s="19" t="str">
        <x:v>Confirmed facts</x:v>
      </x:c>
      <x:c r="C6" s="19" t="str">
        <x:v>Approved / actual budget</x:v>
      </x:c>
      <x:c r="D6" s="19" t="str">
        <x:v>EUR 260,000 / EUR 182,000</x:v>
      </x:c>
      <x:c r="E6" s="19" t="str">
        <x:v>S2</x:v>
      </x:c>
      <x:c r="F6" s="19" t="str">
        <x:v>Measure table</x:v>
      </x:c>
      <x:c r="G6" s="19" t="str">
        <x:v>Approved report</x:v>
      </x:c>
      <x:c r="H6" s="19" t="str">
        <x:v>Confirmed</x:v>
      </x:c>
      <x:c r="I6" s="19" t="str"/>
      <x:c r="J6" s="19" t="str">
        <x:v>Pending</x:v>
      </x:c>
      <x:c r="K6" s="19" t="str">
        <x:f>IF(AND(J6="Approve claim",I6&lt;&gt;"",H6&lt;&gt;"Not confirmed"),"Yes","No")</x:f>
        <x:v>No</x:v>
      </x:c>
      <x:c r="L6" s="19" t="str"/>
    </x:row>
    <x:row r="7">
      <x:c r="A7" s="19" t="str">
        <x:v>C-03</x:v>
      </x:c>
      <x:c r="B7" s="19" t="str">
        <x:v>Confirmed facts</x:v>
      </x:c>
      <x:c r="C7" s="19" t="str">
        <x:v>Open defects</x:v>
      </x:c>
      <x:c r="D7" s="19" t="str">
        <x:v>7 total; 2 High</x:v>
      </x:c>
      <x:c r="E7" s="19" t="str">
        <x:v>S2</x:v>
      </x:c>
      <x:c r="F7" s="19" t="str">
        <x:v>Measure table</x:v>
      </x:c>
      <x:c r="G7" s="19" t="str">
        <x:v>Approved report</x:v>
      </x:c>
      <x:c r="H7" s="19" t="str">
        <x:v>Confirmed</x:v>
      </x:c>
      <x:c r="I7" s="19" t="str"/>
      <x:c r="J7" s="19" t="str">
        <x:v>Pending</x:v>
      </x:c>
      <x:c r="K7" s="19" t="str">
        <x:f>IF(AND(J7="Approve claim",I7&lt;&gt;"",H7&lt;&gt;"Not confirmed"),"Yes","No")</x:f>
        <x:v>No</x:v>
      </x:c>
      <x:c r="L7" s="19" t="str"/>
    </x:row>
    <x:row r="8">
      <x:c r="A8" s="19" t="str">
        <x:v>C-04</x:v>
      </x:c>
      <x:c r="B8" s="19" t="str">
        <x:v>Approved decision</x:v>
      </x:c>
      <x:c r="C8" s="19" t="str">
        <x:v>UAT participant scope</x:v>
      </x:c>
      <x:c r="D8" s="19" t="str">
        <x:v>Maximum 40 users</x:v>
      </x:c>
      <x:c r="E8" s="19" t="str">
        <x:v>S1</x:v>
      </x:c>
      <x:c r="F8" s="19" t="str">
        <x:v>Decision and exclusions</x:v>
      </x:c>
      <x:c r="G8" s="19" t="str">
        <x:v>Approved decision</x:v>
      </x:c>
      <x:c r="H8" s="19" t="str">
        <x:v>Confirmed</x:v>
      </x:c>
      <x:c r="I8" s="19" t="str"/>
      <x:c r="J8" s="19" t="str">
        <x:v>Pending</x:v>
      </x:c>
      <x:c r="K8" s="19" t="str">
        <x:f>IF(AND(J8="Approve claim",I8&lt;&gt;"",H8&lt;&gt;"Not confirmed"),"Yes","No")</x:f>
        <x:v>No</x:v>
      </x:c>
      <x:c r="L8" s="19" t="str"/>
    </x:row>
    <x:row r="9">
      <x:c r="A9" s="19" t="str">
        <x:v>C-05</x:v>
      </x:c>
      <x:c r="B9" s="19" t="str">
        <x:v>Approved decision</x:v>
      </x:c>
      <x:c r="C9" s="19" t="str">
        <x:v>UAT start date</x:v>
      </x:c>
      <x:c r="D9" s="19" t="str">
        <x:v>No date approved</x:v>
      </x:c>
      <x:c r="E9" s="19" t="str">
        <x:v>S1</x:v>
      </x:c>
      <x:c r="F9" s="19" t="str">
        <x:v>Decision and exclusions</x:v>
      </x:c>
      <x:c r="G9" s="19" t="str">
        <x:v>Approved decision</x:v>
      </x:c>
      <x:c r="H9" s="19" t="str">
        <x:v>Confirmed</x:v>
      </x:c>
      <x:c r="I9" s="19" t="str"/>
      <x:c r="J9" s="19" t="str">
        <x:v>Pending</x:v>
      </x:c>
      <x:c r="K9" s="19" t="str">
        <x:f>IF(AND(J9="Approve claim",I9&lt;&gt;"",H9&lt;&gt;"Not confirmed"),"Yes","No")</x:f>
        <x:v>No</x:v>
      </x:c>
      <x:c r="L9" s="19" t="str"/>
    </x:row>
    <x:row r="10">
      <x:c r="A10" s="19" t="str">
        <x:v>C-06</x:v>
      </x:c>
      <x:c r="B10" s="19" t="str">
        <x:v>Actions</x:v>
      </x:c>
      <x:c r="C10" s="19" t="str">
        <x:v>Security sign-off</x:v>
      </x:c>
      <x:c r="D10" s="19" t="str">
        <x:v>Priya Nair - 2026-09-09</x:v>
      </x:c>
      <x:c r="E10" s="19" t="str">
        <x:v>S3/S4</x:v>
      </x:c>
      <x:c r="F10" s="19" t="str">
        <x:v>R-014 + 10:02 chat</x:v>
      </x:c>
      <x:c r="G10" s="19" t="str">
        <x:v>Approved register + owner clarification</x:v>
      </x:c>
      <x:c r="H10" s="19" t="str">
        <x:v>Confirmed</x:v>
      </x:c>
      <x:c r="I10" s="19" t="str"/>
      <x:c r="J10" s="19" t="str">
        <x:v>Pending</x:v>
      </x:c>
      <x:c r="K10" s="19" t="str">
        <x:f>IF(AND(J10="Approve claim",I10&lt;&gt;"",H10&lt;&gt;"Not confirmed"),"Yes","No")</x:f>
        <x:v>No</x:v>
      </x:c>
      <x:c r="L10" s="19" t="str"/>
    </x:row>
    <x:row r="11">
      <x:c r="A11" s="19" t="str">
        <x:v>C-07</x:v>
      </x:c>
      <x:c r="B11" s="19" t="str">
        <x:v>Actions</x:v>
      </x:c>
      <x:c r="C11" s="19" t="str">
        <x:v>Timeout workaround test</x:v>
      </x:c>
      <x:c r="D11" s="19" t="str">
        <x:v>Tomas Weber - 2026-09-07</x:v>
      </x:c>
      <x:c r="E11" s="19" t="str">
        <x:v>S1/S3/S5</x:v>
      </x:c>
      <x:c r="F11" s="19" t="str">
        <x:v>D-031 + R-019 + 09:13 transcript</x:v>
      </x:c>
      <x:c r="G11" s="19" t="str">
        <x:v>Decision/register + commitment</x:v>
      </x:c>
      <x:c r="H11" s="19" t="str">
        <x:v>Confirmed</x:v>
      </x:c>
      <x:c r="I11" s="19" t="str"/>
      <x:c r="J11" s="19" t="str">
        <x:v>Pending</x:v>
      </x:c>
      <x:c r="K11" s="19" t="str">
        <x:f>IF(AND(J11="Approve claim",I11&lt;&gt;"",H11&lt;&gt;"Not confirmed"),"Yes","No")</x:f>
        <x:v>No</x:v>
      </x:c>
      <x:c r="L11" s="19" t="str"/>
    </x:row>
    <x:row r="12">
      <x:c r="A12" s="19" t="str">
        <x:v>C-08</x:v>
      </x:c>
      <x:c r="B12" s="19" t="str">
        <x:v>Actions</x:v>
      </x:c>
      <x:c r="C12" s="19" t="str">
        <x:v>Conditional dashboard and communication</x:v>
      </x:c>
      <x:c r="D12" s="19" t="str">
        <x:v>Sarah Kim - 2026-09-10</x:v>
      </x:c>
      <x:c r="E12" s="19" t="str">
        <x:v>S4</x:v>
      </x:c>
      <x:c r="F12" s="19" t="str">
        <x:v>10:17 and 10:24 chat</x:v>
      </x:c>
      <x:c r="G12" s="19" t="str">
        <x:v>Named-owner correction</x:v>
      </x:c>
      <x:c r="H12" s="19" t="str">
        <x:v>Confirmed</x:v>
      </x:c>
      <x:c r="I12" s="19" t="str"/>
      <x:c r="J12" s="19" t="str">
        <x:v>Pending</x:v>
      </x:c>
      <x:c r="K12" s="19" t="str">
        <x:f>IF(AND(J12="Approve claim",I12&lt;&gt;"",H12&lt;&gt;"Not confirmed"),"Yes","No")</x:f>
        <x:v>No</x:v>
      </x:c>
      <x:c r="L12" s="19" t="str"/>
    </x:row>
    <x:row r="13">
      <x:c r="A13" s="19" t="str">
        <x:v>C-09</x:v>
      </x:c>
      <x:c r="B13" s="19" t="str">
        <x:v>Proposed</x:v>
      </x:c>
      <x:c r="C13" s="19" t="str">
        <x:v>Planning target</x:v>
      </x:c>
      <x:c r="D13" s="19" t="str">
        <x:v>2026-09-15</x:v>
      </x:c>
      <x:c r="E13" s="19" t="str">
        <x:v>S2/S5</x:v>
      </x:c>
      <x:c r="F13" s="19" t="str">
        <x:v>Target date + transcript</x:v>
      </x:c>
      <x:c r="G13" s="19" t="str">
        <x:v>Approved report labels it conditional</x:v>
      </x:c>
      <x:c r="H13" s="19" t="str">
        <x:v>Proposed</x:v>
      </x:c>
      <x:c r="I13" s="19" t="str"/>
      <x:c r="J13" s="19" t="str">
        <x:v>Pending</x:v>
      </x:c>
      <x:c r="K13" s="19" t="str">
        <x:f>IF(AND(J13="Approve claim",I13&lt;&gt;"",H13&lt;&gt;"Not confirmed"),"Yes","No")</x:f>
        <x:v>No</x:v>
      </x:c>
      <x:c r="L13" s="19" t="str"/>
    </x:row>
    <x:row r="14">
      <x:c r="A14" s="20" t="str">
        <x:v>C-10</x:v>
      </x:c>
      <x:c r="B14" s="20" t="str">
        <x:v>Proposed</x:v>
      </x:c>
      <x:c r="C14" s="20" t="str">
        <x:v>Expanded participant scope</x:v>
      </x:c>
      <x:c r="D14" s="20" t="str">
        <x:v>60 users</x:v>
      </x:c>
      <x:c r="E14" s="20" t="str">
        <x:v>S4/S5</x:v>
      </x:c>
      <x:c r="F14" s="20" t="str">
        <x:v>10:41 chat + 09:18 transcript</x:v>
      </x:c>
      <x:c r="G14" s="20" t="str">
        <x:v>Manager preference</x:v>
      </x:c>
      <x:c r="H14" s="20" t="str">
        <x:v>Proposed</x:v>
      </x:c>
      <x:c r="I14" s="20" t="str"/>
      <x:c r="J14" s="20" t="str">
        <x:v>Pending</x:v>
      </x:c>
      <x:c r="K14" s="20" t="str">
        <x:f>IF(AND(J14="Approve claim",I14&lt;&gt;"",H14&lt;&gt;"Not confirmed"),"Yes","No")</x:f>
        <x:v>No</x:v>
      </x:c>
      <x:c r="L14" s="20" t="str"/>
    </x:row>
  </x:sheetData>
  <x:mergeCells>
    <x:mergeCell ref="A1:L1"/>
    <x:mergeCell ref="A2:H2"/>
  </x:mergeCells>
  <x:conditionalFormatting sqref="K5:K14">
    <x:cfRule type="containsText" dxfId="2" priority="1" operator="containsText" text="Yes"/>
    <x:cfRule type="containsText" dxfId="3" priority="2" operator="containsText" text="No"/>
  </x:conditionalFormatting>
  <x:conditionalFormatting sqref="H5:H14">
    <x:cfRule type="containsText" dxfId="4" priority="3" operator="containsText" text="Proposed"/>
  </x:conditionalFormatting>
  <x:dataValidations count="2">
    <x:dataValidation type="list" sqref="J5:J14">
      <x:formula1>"Pending,Approve claim,Revise claim,Reject claim"</x:formula1>
    </x:dataValidation>
    <x:dataValidation type="list" sqref="H5:H14">
      <x:formula1>"Confirmed,Calculated,Proposed,Not confirmed"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5" hidden="0" customWidth="1"/>
    <x:col min="4" max="4" width="25" hidden="0" customWidth="1"/>
    <x:col min="5" max="5" width="20" hidden="0" customWidth="1"/>
    <x:col min="6" max="6" width="34" hidden="0" customWidth="1"/>
    <x:col min="7" max="7" width="25" hidden="0" customWidth="1"/>
    <x:col min="8" max="8" width="19" hidden="0" customWidth="1"/>
    <x:col min="9" max="9" width="22" hidden="0" customWidth="1"/>
    <x:col min="10" max="10" width="25" hidden="0" customWidth="1"/>
    <x:col min="11" max="11" width="38" hidden="0" customWidth="1"/>
    <x:col min="12" max="12" width="38" hidden="0" customWidth="1"/>
    <x:col min="13" max="13" width="17" hidden="0" customWidth="1"/>
  </x:cols>
  <x:sheetData>
    <x:row r="1" ht="28" customHeight="1">
      <x:c r="A1" s="3" t="str">
        <x:v>Collaboration Changes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Record material Page edits. Version history supports recovery, but it does not replace business approval.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0" t="str">
        <x:v>Change ID</x:v>
      </x:c>
      <x:c r="B4" s="10" t="str">
        <x:v>Page field</x:v>
      </x:c>
      <x:c r="C4" s="10" t="str">
        <x:v>Previous value</x:v>
      </x:c>
      <x:c r="D4" s="10" t="str">
        <x:v>New value</x:v>
      </x:c>
      <x:c r="E4" s="10" t="str">
        <x:v>Changed by</x:v>
      </x:c>
      <x:c r="F4" s="10" t="str">
        <x:v>Change source</x:v>
      </x:c>
      <x:c r="G4" s="10" t="str">
        <x:v>Change type</x:v>
      </x:c>
      <x:c r="H4" s="10" t="str">
        <x:v>Approval required</x:v>
      </x:c>
      <x:c r="I4" s="10" t="str">
        <x:v>Reviewer</x:v>
      </x:c>
      <x:c r="J4" s="10" t="str">
        <x:v>Review decision</x:v>
      </x:c>
      <x:c r="K4" s="10" t="str">
        <x:v>Expected impact</x:v>
      </x:c>
      <x:c r="L4" s="10" t="str">
        <x:v>Observed impact</x:v>
      </x:c>
      <x:c r="M4" s="10" t="str">
        <x:v>Test result</x:v>
      </x:c>
    </x:row>
    <x:row r="5">
      <x:c r="A5" s="18" t="str">
        <x:v>CH-001</x:v>
      </x:c>
      <x:c r="B5" s="18" t="str">
        <x:v>Dashboard/communication owner</x:v>
      </x:c>
      <x:c r="C5" s="18" t="str">
        <x:v>Tomas Weber</x:v>
      </x:c>
      <x:c r="D5" s="18" t="str">
        <x:v>Sarah Kim</x:v>
      </x:c>
      <x:c r="E5" s="18" t="str">
        <x:v>Participant</x:v>
      </x:c>
      <x:c r="F5" s="18" t="str">
        <x:v>S4 - 10:17 and 10:24 chat</x:v>
      </x:c>
      <x:c r="G5" s="18" t="str">
        <x:v>Correction</x:v>
      </x:c>
      <x:c r="H5" s="18" t="str">
        <x:v>Yes</x:v>
      </x:c>
      <x:c r="I5" s="18" t="str"/>
      <x:c r="J5" s="18" t="str">
        <x:v>Pending</x:v>
      </x:c>
      <x:c r="K5" s="18" t="str">
        <x:v>Only action owner and due date change</x:v>
      </x:c>
      <x:c r="L5" s="18" t="str"/>
      <x:c r="M5" s="18" t="str">
        <x:f>IF(L5="","Not tested",IF(K5=L5,"Pass","Review"))</x:f>
        <x:v>Not tested</x:v>
      </x:c>
    </x:row>
    <x:row r="6">
      <x:c r="A6" s="19" t="str">
        <x:v>CH-002</x:v>
      </x:c>
      <x:c r="B6" s="19" t="str">
        <x:v>High-severity defects</x:v>
      </x:c>
      <x:c r="C6" s="19" t="str">
        <x:v>2</x:v>
      </x:c>
      <x:c r="D6" s="19" t="str">
        <x:v>1</x:v>
      </x:c>
      <x:c r="E6" s="19" t="str">
        <x:v>Participant</x:v>
      </x:c>
      <x:c r="F6" s="19" t="str">
        <x:v>S6 - Status Report v5</x:v>
      </x:c>
      <x:c r="G6" s="19" t="str">
        <x:v>Approved source replacement</x:v>
      </x:c>
      <x:c r="H6" s="19" t="str">
        <x:v>Yes</x:v>
      </x:c>
      <x:c r="I6" s="19" t="str"/>
      <x:c r="J6" s="19" t="str">
        <x:v>Pending</x:v>
      </x:c>
      <x:c r="K6" s="19" t="str">
        <x:v>Only High defect count changes</x:v>
      </x:c>
      <x:c r="L6" s="19" t="str"/>
      <x:c r="M6" s="19" t="str">
        <x:f>IF(L6="","Not tested",IF(K6=L6,"Pass","Review"))</x:f>
        <x:v>Not tested</x:v>
      </x:c>
    </x:row>
    <x:row r="7">
      <x:c r="A7" s="20" t="str">
        <x:v>CH-003</x:v>
      </x:c>
      <x:c r="B7" s="20" t="str">
        <x:v>UAT scope</x:v>
      </x:c>
      <x:c r="C7" s="20" t="str">
        <x:v>40 users</x:v>
      </x:c>
      <x:c r="D7" s="20" t="str">
        <x:v>60 users</x:v>
      </x:c>
      <x:c r="E7" s="20" t="str">
        <x:v>Test collaborator</x:v>
      </x:c>
      <x:c r="F7" s="20" t="str">
        <x:v>Manager preference in S4/S5</x:v>
      </x:c>
      <x:c r="G7" s="20" t="str">
        <x:v>Unauthorized proposal</x:v>
      </x:c>
      <x:c r="H7" s="20" t="str">
        <x:v>Yes</x:v>
      </x:c>
      <x:c r="I7" s="20" t="str"/>
      <x:c r="J7" s="20" t="str">
        <x:v>Pending</x:v>
      </x:c>
      <x:c r="K7" s="20" t="str">
        <x:v>No approved Page decision should change</x:v>
      </x:c>
      <x:c r="L7" s="20" t="str"/>
      <x:c r="M7" s="20" t="str">
        <x:f>IF(L7="","Not tested",IF(K7=L7,"Pass","Review"))</x:f>
        <x:v>Not tested</x:v>
      </x:c>
    </x:row>
  </x:sheetData>
  <x:mergeCells>
    <x:mergeCell ref="A1:M1"/>
    <x:mergeCell ref="A2:H2"/>
  </x:mergeCells>
  <x:conditionalFormatting sqref="M5:M7">
    <x:cfRule type="containsText" dxfId="5" priority="1" operator="containsText" text="Pass"/>
    <x:cfRule type="containsText" dxfId="6" priority="2" operator="containsText" text="Review"/>
  </x:conditionalFormatting>
  <x:dataValidations count="1">
    <x:dataValidation type="list" sqref="J5:J7">
      <x:formula1>"Pending,Approve change,Reject change,Restore previous version"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2" hidden="0" customWidth="1"/>
    <x:col min="3" max="3" width="24" hidden="0" customWidth="1"/>
    <x:col min="4" max="4" width="18" hidden="0" customWidth="1"/>
    <x:col min="5" max="5" width="4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3" t="str">
        <x:v>Release Check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A Page may be collaborative and useful while still being unfit for formal release.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0" t="str">
        <x:v>Control</x:v>
      </x:c>
      <x:c r="B4" s="10" t="str">
        <x:v>Required rule</x:v>
      </x:c>
      <x:c r="C4" s="10" t="str">
        <x:v>Current result</x:v>
      </x:c>
      <x:c r="D4" s="10" t="str">
        <x:v>Status</x:v>
      </x:c>
      <x:c r="F4" s="10" t="str">
        <x:v>Overall release status</x:v>
      </x:c>
      <x:c r="G4" s="10"/>
      <x:c r="H4" s="10"/>
    </x:row>
    <x:row r="5">
      <x:c r="A5" s="18" t="str">
        <x:v>All claims reviewed</x:v>
      </x:c>
      <x:c r="B5" s="18" t="str">
        <x:v>No Pending decisions in Claim Review</x:v>
      </x:c>
      <x:c r="C5" s="18" t="n">
        <x:f>COUNTIF('Claim Review'!$J$5:$J$14,"Pending")</x:f>
        <x:v>10</x:v>
      </x:c>
      <x:c r="D5" s="18" t="str">
        <x:f>IF(C5=0,"Pass","Hold")</x:f>
        <x:v>Hold</x:v>
      </x:c>
      <x:c r="F5" s="60" t="str">
        <x:f>IF(AND(COUNTIF(D5:D10,"Hold")=0,B13&lt;&gt;"",B14&lt;&gt;"",B15&lt;&gt;"Hold"),"READY FOR CONTROLLED TRANSFER","HOLD - REVIEW REQUIRED")</x:f>
        <x:v>HOLD - REVIEW REQUIRED</x:v>
      </x:c>
      <x:c r="G5" s="61"/>
      <x:c r="H5" s="62"/>
    </x:row>
    <x:row r="6">
      <x:c r="A6" s="19" t="str">
        <x:v>Eligible claim count</x:v>
      </x:c>
      <x:c r="B6" s="19" t="str">
        <x:v>At least one human-approved releasable claim</x:v>
      </x:c>
      <x:c r="C6" s="19" t="n">
        <x:f>COUNTIF('Claim Review'!$K$5:$K$14,"Yes")</x:f>
        <x:v>0</x:v>
      </x:c>
      <x:c r="D6" s="19" t="str">
        <x:f>IF(C6&gt;0,"Pass","Hold")</x:f>
        <x:v>Hold</x:v>
      </x:c>
      <x:c r="F6" s="63"/>
      <x:c r="G6" s="64"/>
      <x:c r="H6" s="65"/>
    </x:row>
    <x:row r="7">
      <x:c r="A7" s="19" t="str">
        <x:v>Unauthorized change</x:v>
      </x:c>
      <x:c r="B7" s="19" t="str">
        <x:v>CH-003 must be rejected or restored</x:v>
      </x:c>
      <x:c r="C7" s="19" t="str">
        <x:f>'Collaboration Changes'!J7</x:f>
        <x:v>Pending</x:v>
      </x:c>
      <x:c r="D7" s="19" t="str">
        <x:f>IF(OR(C7="Reject change",C7="Restore previous version"),"Pass","Hold")</x:f>
        <x:v>Hold</x:v>
      </x:c>
      <x:c r="F7" s="66"/>
      <x:c r="G7" s="67"/>
      <x:c r="H7" s="68"/>
    </x:row>
    <x:row r="8">
      <x:c r="A8" s="19" t="str">
        <x:v>One-change test</x:v>
      </x:c>
      <x:c r="B8" s="19" t="str">
        <x:v>CH-002 must pass</x:v>
      </x:c>
      <x:c r="C8" s="19" t="str">
        <x:f>'Collaboration Changes'!M6</x:f>
        <x:v>Not tested</x:v>
      </x:c>
      <x:c r="D8" s="19" t="str">
        <x:f>IF(C8="Pass","Pass","Hold")</x:f>
        <x:v>Hold</x:v>
      </x:c>
    </x:row>
    <x:row r="9">
      <x:c r="A9" s="19" t="str">
        <x:v>Named decision owner</x:v>
      </x:c>
      <x:c r="B9" s="19" t="str">
        <x:v>Release owner recorded below</x:v>
      </x:c>
      <x:c r="C9" s="19" t="str"/>
      <x:c r="D9" s="19" t="str">
        <x:f>IF(C9&lt;&gt;"","Pass","Hold")</x:f>
        <x:v>Hold</x:v>
      </x:c>
    </x:row>
    <x:row r="10">
      <x:c r="A10" s="20" t="str">
        <x:v>Sharing checked</x:v>
      </x:c>
      <x:c r="B10" s="20" t="str">
        <x:v>Access decision recorded below</x:v>
      </x:c>
      <x:c r="C10" s="20" t="str"/>
      <x:c r="D10" s="20" t="str">
        <x:f>IF(C10&lt;&gt;"","Pass","Hold")</x:f>
        <x:v>Hold</x:v>
      </x:c>
    </x:row>
    <x:row r="13">
      <x:c r="A13" s="29" t="str">
        <x:v>Release owner</x:v>
      </x:c>
      <x:c r="B13" s="18" t="str"/>
    </x:row>
    <x:row r="14">
      <x:c r="A14" s="30" t="str">
        <x:v>Release date</x:v>
      </x:c>
      <x:c r="B14" s="19" t="str"/>
    </x:row>
    <x:row r="15">
      <x:c r="A15" s="30" t="str">
        <x:v>Release decision</x:v>
      </x:c>
      <x:c r="B15" s="19" t="str">
        <x:v>Hold</x:v>
      </x:c>
    </x:row>
    <x:row r="16">
      <x:c r="A16" s="31" t="str">
        <x:v>Released scope</x:v>
      </x:c>
      <x:c r="B16" s="20" t="str"/>
    </x:row>
  </x:sheetData>
  <x:mergeCells>
    <x:mergeCell ref="A1:H1"/>
    <x:mergeCell ref="A2:H2"/>
    <x:mergeCell ref="F4:H4"/>
    <x:mergeCell ref="F5:H7"/>
  </x:mergeCells>
  <x:conditionalFormatting sqref="D5:D10">
    <x:cfRule type="containsText" dxfId="7" priority="1" operator="containsText" text="Pass"/>
    <x:cfRule type="containsText" dxfId="8" priority="2" operator="containsText" text="Hold"/>
  </x:conditionalFormatting>
  <x:conditionalFormatting sqref="F5:H7">
    <x:cfRule type="containsText" dxfId="9" priority="3" operator="containsText" text="READY"/>
  </x:conditionalFormatting>
  <x:dataValidations count="1">
    <x:dataValidation type="list" sqref="B15">
      <x:formula1>"Hold,Release to Word,Release to PDF,Release to system of record"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20" hidden="0" customWidth="1"/>
  </x:cols>
  <x:sheetData>
    <x:row r="1" ht="25" customHeight="1">
      <x:c r="A1" s="10" t="str">
        <x:v>Evidence labels</x:v>
      </x:c>
      <x:c r="B1" s="10" t="str">
        <x:v>Review decisions</x:v>
      </x:c>
      <x:c r="C1" s="10" t="str">
        <x:v>Change decisions</x:v>
      </x:c>
      <x:c r="D1" s="10" t="str">
        <x:v>Progress</x:v>
      </x:c>
    </x:row>
    <x:row r="2">
      <x:c r="A2" s="18" t="str">
        <x:v>Confirmed</x:v>
      </x:c>
      <x:c r="B2" s="18" t="str">
        <x:v>Pending</x:v>
      </x:c>
      <x:c r="C2" s="18" t="str">
        <x:v>Pending</x:v>
      </x:c>
      <x:c r="D2" s="18" t="str">
        <x:v>Not started</x:v>
      </x:c>
    </x:row>
    <x:row r="3">
      <x:c r="A3" s="19" t="str">
        <x:v>Calculated</x:v>
      </x:c>
      <x:c r="B3" s="19" t="str">
        <x:v>Approve claim</x:v>
      </x:c>
      <x:c r="C3" s="19" t="str">
        <x:v>Approve change</x:v>
      </x:c>
      <x:c r="D3" s="19" t="str">
        <x:v>In progress</x:v>
      </x:c>
    </x:row>
    <x:row r="4">
      <x:c r="A4" s="19" t="str">
        <x:v>Proposed</x:v>
      </x:c>
      <x:c r="B4" s="19" t="str">
        <x:v>Revise claim</x:v>
      </x:c>
      <x:c r="C4" s="19" t="str">
        <x:v>Reject change</x:v>
      </x:c>
      <x:c r="D4" s="19" t="str">
        <x:v>Complete</x:v>
      </x:c>
    </x:row>
    <x:row r="5">
      <x:c r="A5" s="19" t="str">
        <x:v>Not confirmed</x:v>
      </x:c>
      <x:c r="B5" s="19" t="str">
        <x:v>Reject claim</x:v>
      </x:c>
      <x:c r="C5" s="19" t="str">
        <x:v>Restore previous version</x:v>
      </x:c>
      <x:c r="D5" s="19" t="str">
        <x:v>Blocked</x:v>
      </x:c>
    </x:row>
    <x:row r="6">
      <x:c r="A6" s="20" t="str"/>
      <x:c r="B6" s="20" t="str"/>
      <x:c r="C6" s="20" t="str"/>
      <x:c r="D6" s="20" t="str"/>
    </x:row>
  </x:sheetData>
  <x:pageMargins left="0.7" right="0.7" top="0.75" bottom="0.75" header="0.3" footer="0.3"/>
</x:worksheet>
</file>