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489e4776d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da162ed2eea46ba"/>
    <x:sheet xmlns:r="http://schemas.openxmlformats.org/officeDocument/2006/relationships" name="Action Register" sheetId="2" r:id="Rad7ac78e24574d38"/>
    <x:sheet xmlns:r="http://schemas.openxmlformats.org/officeDocument/2006/relationships" name="Field Change Queue" sheetId="3" r:id="Ra054ff9a02444cd8"/>
    <x:sheet xmlns:r="http://schemas.openxmlformats.org/officeDocument/2006/relationships" name="New Action Queue" sheetId="4" r:id="R24c2c745d8e24ba9"/>
    <x:sheet xmlns:r="http://schemas.openxmlformats.org/officeDocument/2006/relationships" name="Before Snapshot" sheetId="5" r:id="R41b12f1fce544790"/>
    <x:sheet xmlns:r="http://schemas.openxmlformats.org/officeDocument/2006/relationships" name="Before-After Audit" sheetId="6" r:id="R17e0b737627f4dda"/>
    <x:sheet xmlns:r="http://schemas.openxmlformats.org/officeDocument/2006/relationships" name="Validation" sheetId="7" r:id="R9b3c0ad75159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1">
    <x:font>
      <x:sz val="11"/>
      <x:name val="Carlito"/>
    </x:font>
    <x:font>
      <x:b/>
      <x:sz val="20"/>
      <x:color rgb="FFFFFFFF"/>
      <x:name val="Carlito"/>
    </x:font>
    <x:font>
      <x:sz val="10"/>
      <x:color rgb="FF13294B"/>
      <x:name val="Carlito"/>
    </x:font>
    <x:font>
      <x:b/>
      <x:sz val="12"/>
      <x:color rgb="FFFFFFFF"/>
      <x:name val="Carlito"/>
    </x:font>
    <x:font>
      <x:b/>
      <x:sz val="12"/>
      <x:color rgb="FF13294B"/>
      <x:name val="Carlito"/>
    </x:font>
    <x:font>
      <x:b/>
      <x:sz val="10"/>
      <x:color rgb="FF13294B"/>
      <x:name val="Carlito"/>
    </x:font>
    <x:font>
      <x:sz val="9"/>
      <x:color rgb="FF242424"/>
      <x:name val="Carlito"/>
    </x:font>
    <x:font>
      <x:b/>
      <x:sz val="11"/>
      <x:color rgb="FF13294B"/>
      <x:name val="Carlito"/>
    </x:font>
    <x:font>
      <x:i/>
      <x:sz val="9"/>
      <x:color rgb="FF667085"/>
      <x:name val="Carlito"/>
    </x:font>
    <x:font>
      <x:b/>
      <x:sz val="9"/>
      <x:color rgb="FF13294B"/>
      <x:name val="Carlito"/>
    </x:font>
    <x:font>
      <x:b/>
      <x:sz val="9"/>
      <x:color rgb="FFA4262C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EAF4FB"/>
      </x:patternFill>
    </x:fill>
    <x:fill>
      <x:patternFill patternType="solid">
        <x:fgColor rgb="FF0067B8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FF8DF"/>
      </x:patternFill>
    </x:fill>
    <x:fill>
      <x:patternFill patternType="solid">
        <x:fgColor rgb="FFEAF6EA"/>
      </x:patternFill>
    </x:fill>
    <x:fill>
      <x:patternFill patternType="solid">
        <x:fgColor rgb="FFFDECEC"/>
      </x:patternFill>
    </x:fill>
    <x:fill>
      <x:patternFill patternType="solid">
        <x:fgColor rgb="FFFFFDF2"/>
      </x:patternFill>
    </x:fill>
  </x:fills>
  <x:borders count="8">
    <x:border/>
    <x:border>
      <x:left style="medium">
        <x:color rgb="FF0067B8"/>
      </x:left>
      <x:right style="medium">
        <x:color rgb="FF0067B8"/>
      </x:right>
      <x:top style="medium">
        <x:color rgb="FF0067B8"/>
      </x:top>
      <x:bottom style="medium">
        <x:color rgb="FF0067B8"/>
      </x:bottom>
    </x:border>
    <x:border>
      <x:left style="thin">
        <x:color rgb="FFD6DCE4"/>
      </x:left>
      <x:top style="thin">
        <x:color rgb="FFD6DCE4"/>
      </x:top>
      <x:bottom style="thin">
        <x:color rgb="FFD6DCE4"/>
      </x:bottom>
    </x:border>
    <x:border>
      <x:top style="thin">
        <x:color rgb="FFD6DCE4"/>
      </x:top>
      <x:bottom style="thin">
        <x:color rgb="FFD6DCE4"/>
      </x:bottom>
    </x:border>
    <x:border>
      <x:right style="thin">
        <x:color rgb="FFD6DCE4"/>
      </x:right>
      <x:top style="thin">
        <x:color rgb="FFD6DCE4"/>
      </x:top>
      <x:bottom style="thin">
        <x:color rgb="FFD6DCE4"/>
      </x:bottom>
    </x:border>
    <x:border>
      <x:bottom style="thin">
        <x:color rgb="FFE7EAF0"/>
      </x:bottom>
    </x:border>
    <x:border>
      <x:top style="thin">
        <x:color rgb="FFE7EAF0"/>
      </x:top>
      <x:bottom style="thin">
        <x:color rgb="FFE7EAF0"/>
      </x:bottom>
    </x:border>
    <x:border>
      <x:top style="thin">
        <x:color rgb="FFE7EAF0"/>
      </x:top>
      <x:bottom style="thin">
        <x:color rgb="FFD6DCE4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6" fillId="7" borderId="5" xfId="0" applyNumberFormat="1" applyFont="1" applyFill="1" applyBorder="1" applyAlignment="1">
      <x:alignment vertical="center" wrapText="1"/>
    </x:xf>
    <x:xf numFmtId="0" fontId="6" fillId="8" borderId="7" xfId="0" applyNumberFormat="1" applyFont="1" applyFill="1" applyBorder="1" applyAlignment="1">
      <x:alignment vertical="center" wrapText="1"/>
    </x:xf>
    <x:xf numFmtId="0" fontId="6" fillId="9" borderId="7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0" fontId="6" fillId="0" borderId="5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  <x:xf numFmtId="200" fontId="6" fillId="0" borderId="7" xfId="0" applyNumberFormat="1" applyFont="1" applyFill="1" applyBorder="1" applyAlignment="1">
      <x:alignment vertical="center" wrapText="1"/>
    </x:xf>
    <x:xf numFmtId="0" fontId="6" fillId="10" borderId="6" xfId="0" applyNumberFormat="1" applyFont="1" applyFill="1" applyBorder="1" applyAlignment="1">
      <x:alignment vertical="center" wrapText="1"/>
    </x:xf>
    <x:xf numFmtId="200" fontId="6" fillId="10" borderId="6" xfId="0" applyNumberFormat="1" applyFont="1" applyFill="1" applyBorder="1" applyAlignment="1">
      <x:alignment vertical="center" wrapText="1"/>
    </x:xf>
    <x:xf numFmtId="0" fontId="6" fillId="10" borderId="7" xfId="0" applyNumberFormat="1" applyFont="1" applyFill="1" applyBorder="1" applyAlignment="1">
      <x:alignment vertical="center" wrapText="1"/>
    </x:xf>
    <x:xf numFmtId="200" fontId="6" fillId="10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200" fontId="6" fillId="7" borderId="5" xfId="0" applyNumberFormat="1" applyFont="1" applyFill="1" applyBorder="1" applyAlignment="1">
      <x:alignment vertical="center" wrapText="1"/>
    </x:xf>
    <x:xf numFmtId="200" fontId="6" fillId="7" borderId="6" xfId="0" applyNumberFormat="1" applyFont="1" applyFill="1" applyBorder="1" applyAlignment="1">
      <x:alignment vertical="center" wrapText="1"/>
    </x:xf>
    <x:xf numFmtId="200" fontId="6" fillId="7" borderId="7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201" fontId="6" fillId="0" borderId="5" xfId="0" applyNumberFormat="1" applyFont="1" applyFill="1" applyBorder="1" applyAlignment="1">
      <x:alignment vertical="center" wrapText="1"/>
    </x:xf>
    <x:xf numFmtId="201" fontId="6" fillId="0" borderId="6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FFA4262C"/>
      </x:font>
      <x:fill>
        <x:patternFill patternType="solid">
          <x:bgColor rgb="FFFDECEC"/>
        </x:patternFill>
      </x:fill>
    </x:dxf>
    <x:dxf>
      <x:font>
        <x:b/>
        <x:color rgb="FFA4262C"/>
      </x:font>
      <x:fill>
        <x:patternFill patternType="solid">
          <x:bgColor rgb="FFFDECEC"/>
        </x:patternFill>
      </x:fill>
    </x:dxf>
    <x:dxf>
      <x:font>
        <x:b/>
        <x:color rgb="FF107C10"/>
      </x:font>
      <x:fill>
        <x:patternFill patternType="solid">
          <x:bgColor rgb="FFEAF6EA"/>
        </x:patternFill>
      </x:fill>
    </x:dxf>
    <x:dxf>
      <x:font>
        <x:b/>
        <x:color rgb="FF107C10"/>
      </x:font>
      <x:fill>
        <x:patternFill patternType="solid">
          <x:bgColor rgb="FFEAF6EA"/>
        </x:patternFill>
      </x:fill>
    </x:dxf>
    <x:dxf>
      <x:font>
        <x:b/>
        <x:color rgb="FFA4262C"/>
      </x:font>
      <x:fill>
        <x:patternFill patternType="solid">
          <x:bgColor rgb="FFFDECEC"/>
        </x:patternFill>
      </x:fill>
    </x:dxf>
    <x:dxf>
      <x:font>
        <x:b/>
        <x:color rgb="FF8A5100"/>
      </x:font>
      <x:fill>
        <x:patternFill patternType="solid">
          <x:bgColor rgb="FFFFF8DF"/>
        </x:patternFill>
      </x:fill>
    </x:dxf>
    <x:dxf>
      <x:font>
        <x:b/>
        <x:color rgb="FF107C10"/>
      </x:font>
      <x:fill>
        <x:patternFill patternType="solid">
          <x:bgColor rgb="FFEAF6EA"/>
        </x:patternFill>
      </x:fill>
    </x:dxf>
    <x:dxf>
      <x:font>
        <x:b/>
        <x:color rgb="FFA4262C"/>
      </x:font>
      <x:fill>
        <x:patternFill patternType="solid">
          <x:bgColor rgb="FFFDECEC"/>
        </x:patternFill>
      </x:fill>
    </x:dxf>
    <x:dxf>
      <x:font>
        <x:b/>
        <x:color rgb="FF8A5100"/>
      </x:font>
      <x:fill>
        <x:patternFill patternType="solid">
          <x:bgColor rgb="FFFFF8DF"/>
        </x:patternFill>
      </x:fill>
    </x:dxf>
    <x:dxf>
      <x:font>
        <x:b/>
        <x:color rgb="FF107C10"/>
      </x:font>
      <x:fill>
        <x:patternFill patternType="solid">
          <x:bgColor rgb="FFEAF6EA"/>
        </x:patternFill>
      </x:fill>
    </x:dxf>
    <x:dxf>
      <x:font>
        <x:b/>
        <x:color rgb="FFA4262C"/>
      </x:font>
      <x:fill>
        <x:patternFill patternType="solid">
          <x:bgColor rgb="FFFDECEC"/>
        </x:patternFill>
      </x:fill>
    </x:dxf>
    <x:dxf>
      <x:font>
        <x:b/>
        <x:color rgb="FF107C10"/>
      </x:font>
      <x:fill>
        <x:patternFill patternType="solid">
          <x:bgColor rgb="FFEAF6EA"/>
        </x:patternFill>
      </x:fill>
    </x:dxf>
    <x:dxf>
      <x:font>
        <x:b/>
        <x:color rgb="FFA4262C"/>
      </x:font>
      <x:fill>
        <x:patternFill patternType="solid">
          <x:bgColor rgb="FFFDECEC"/>
        </x:patternFill>
      </x:fill>
    </x:dxf>
    <x:dxf>
      <x:font>
        <x:b/>
        <x:color rgb="FF107C10"/>
      </x:font>
      <x:fill>
        <x:patternFill patternType="solid">
          <x:bgColor rgb="FFEAF6EA"/>
        </x:patternFill>
      </x:fill>
    </x:dxf>
    <x:dxf>
      <x:font>
        <x:b/>
        <x:color rgb="FFA4262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71b088695457e" /><Relationship Type="http://schemas.openxmlformats.org/officeDocument/2006/relationships/theme" Target="/xl/theme/theme1.xml" Id="Rcd12a4ec2c034bfb" /><Relationship Type="http://schemas.openxmlformats.org/officeDocument/2006/relationships/sharedStrings" Target="/xl/sharedStrings.xml" Id="R22b1675aede44864" /><Relationship Type="http://schemas.openxmlformats.org/officeDocument/2006/relationships/worksheet" Target="/xl/worksheets/sheet1.xml" Id="Rdda162ed2eea46ba" /><Relationship Type="http://schemas.openxmlformats.org/officeDocument/2006/relationships/worksheet" Target="/xl/worksheets/sheet2.xml" Id="Rad7ac78e24574d38" /><Relationship Type="http://schemas.openxmlformats.org/officeDocument/2006/relationships/worksheet" Target="/xl/worksheets/sheet3.xml" Id="Ra054ff9a02444cd8" /><Relationship Type="http://schemas.openxmlformats.org/officeDocument/2006/relationships/worksheet" Target="/xl/worksheets/sheet4.xml" Id="R24c2c745d8e24ba9" /><Relationship Type="http://schemas.openxmlformats.org/officeDocument/2006/relationships/worksheet" Target="/xl/worksheets/sheet5.xml" Id="R41b12f1fce544790" /><Relationship Type="http://schemas.openxmlformats.org/officeDocument/2006/relationships/worksheet" Target="/xl/worksheets/sheet6.xml" Id="R17e0b737627f4dda" /><Relationship Type="http://schemas.openxmlformats.org/officeDocument/2006/relationships/worksheet" Target="/xl/worksheets/sheet7.xml" Id="R9b3c0ad751594058" /></Relationships>
</file>

<file path=xl/tables/table1.xml><?xml version="1.0" encoding="utf-8"?>
<x:table xmlns:x="http://schemas.openxmlformats.org/spreadsheetml/2006/main" id="1" name="ActionRegisterTable" displayName="ActionRegisterTable" ref="A4:M40" headerRowCount="1" totalsRowCount="0" totalsRowShown="0">
  <x:autoFilter ref="A4:M40"/>
  <x:tableColumns count="13">
    <x:tableColumn id="1" name="Action ID"/>
    <x:tableColumn id="2" name="Project"/>
    <x:tableColumn id="3" name="Action"/>
    <x:tableColumn id="4" name="Owner"/>
    <x:tableColumn id="5" name="Due Date"/>
    <x:tableColumn id="6" name="Priority"/>
    <x:tableColumn id="7" name="Status"/>
    <x:tableColumn id="8" name="Dependency"/>
    <x:tableColumn id="9" name="Source Meeting"/>
    <x:tableColumn id="10" name="Last Updated"/>
    <x:tableColumn id="11" name="Notes"/>
    <x:tableColumn id="12" name="Duplicate Check"/>
    <x:tableColumn id="13" name="Required Fiel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ChangeQueueTable" displayName="FieldChangeQueueTable" ref="A4:J24" headerRowCount="1" totalsRowCount="0" totalsRowShown="0">
  <x:tableColumns count="10">
    <x:tableColumn id="1" name="Change ID"/>
    <x:tableColumn id="2" name="Action ID"/>
    <x:tableColumn id="3" name="Classification"/>
    <x:tableColumn id="4" name="Field to Change"/>
    <x:tableColumn id="5" name="Current Value"/>
    <x:tableColumn id="6" name="Proposed Value"/>
    <x:tableColumn id="7" name="Exact Meeting Evidence"/>
    <x:tableColumn id="8" name="Missing or Conflict"/>
    <x:tableColumn id="9" name="Human Decision"/>
    <x:tableColumn id="10" name="Applied?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wActionQueueTable" displayName="NewActionQueueTable" ref="A4:M15" headerRowCount="1" totalsRowCount="0" totalsRowShown="0">
  <x:tableColumns count="13">
    <x:tableColumn id="1" name="Candidate ID"/>
    <x:tableColumn id="2" name="Action Description"/>
    <x:tableColumn id="3" name="Owner"/>
    <x:tableColumn id="4" name="Due Date"/>
    <x:tableColumn id="5" name="Priority"/>
    <x:tableColumn id="6" name="Status"/>
    <x:tableColumn id="7" name="Dependency"/>
    <x:tableColumn id="8" name="Source Meeting"/>
    <x:tableColumn id="9" name="Exact Evidence"/>
    <x:tableColumn id="10" name="Missing or Conflict"/>
    <x:tableColumn id="11" name="Human Decision"/>
    <x:tableColumn id="12" name="Assigned Action ID"/>
    <x:tableColumn id="13" name="Applied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foreSnapshotTable" displayName="BeforeSnapshotTable" ref="A4:K12" headerRowCount="1" totalsRowCount="0" totalsRowShown="0">
  <x:tableColumns count="11">
    <x:tableColumn id="1" name="Action ID"/>
    <x:tableColumn id="2" name="Project"/>
    <x:tableColumn id="3" name="Action"/>
    <x:tableColumn id="4" name="Owner"/>
    <x:tableColumn id="5" name="Due Date"/>
    <x:tableColumn id="6" name="Priority"/>
    <x:tableColumn id="7" name="Status"/>
    <x:tableColumn id="8" name="Dependency"/>
    <x:tableColumn id="9" name="Source Meeting"/>
    <x:tableColumn id="10" name="Last Updated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eforeAfterAuditTable" displayName="BeforeAfterAuditTable" ref="A4:H30" headerRowCount="1" totalsRowCount="0" totalsRowShown="0">
  <x:tableColumns count="8">
    <x:tableColumn id="1" name="Changed Cell"/>
    <x:tableColumn id="2" name="Action ID"/>
    <x:tableColumn id="3" name="Field"/>
    <x:tableColumn id="4" name="Before Value"/>
    <x:tableColumn id="5" name="After Value"/>
    <x:tableColumn id="6" name="Approved Change ID"/>
    <x:tableColumn id="7" name="Matching Review Entry?"/>
    <x:tableColumn id="8" name="Audit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e0d77db49249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83a3486d6544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26d59f610d4a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661aa9655c4d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36f627b9aa4c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24" hidden="0" customWidth="1"/>
    <x:col min="4" max="4" width="27" hidden="0" customWidth="1"/>
    <x:col min="5" max="5" width="10" hidden="0" customWidth="1"/>
    <x:col min="6" max="6" width="26" hidden="0" customWidth="1"/>
    <x:col min="7" max="7" width="23" hidden="0" customWidth="1"/>
    <x:col min="8" max="8" width="26" hidden="0" customWidth="1"/>
  </x:cols>
  <x:sheetData>
    <x:row r="1" ht="36" customHeight="1">
      <x:c r="A1" s="4" t="str">
        <x:v>Lab 2 - Field-Level Action Register</x:v>
      </x:c>
    </x:row>
    <x:row r="2" ht="28" customHeight="1">
      <x:c r="A2" s="8" t="str">
        <x:v>Participant workbook | Compare meeting notes with the current register and change only approved fields.</x:v>
      </x:c>
    </x:row>
    <x:row r="4">
      <x:c r="A4" s="11" t="str">
        <x:v>Core control rule</x:v>
      </x:c>
    </x:row>
    <x:row r="5" ht="52" customHeight="1">
      <x:c r="A5" s="15" t="str">
        <x:v>For an existing Action ID, update only the field explicitly changed in the meeting. Preserve every other value exactly as it appears in the Action Register.</x:v>
      </x:c>
    </x:row>
    <x:row r="8" ht="30" customHeight="1">
      <x:c r="A8" s="24" t="str">
        <x:v>Step</x:v>
      </x:c>
      <x:c r="B8" s="25" t="str">
        <x:v>Action</x:v>
      </x:c>
      <x:c r="C8" s="25" t="str">
        <x:v>Output</x:v>
      </x:c>
      <x:c r="D8" s="25" t="str">
        <x:v>Control</x:v>
      </x:c>
      <x:c r="E8" s="25" t="str">
        <x:v>Time</x:v>
      </x:c>
      <x:c r="F8" s="25" t="str">
        <x:v>Source</x:v>
      </x:c>
      <x:c r="G8" s="25" t="str">
        <x:v>Where to record</x:v>
      </x:c>
      <x:c r="H8" s="26" t="str">
        <x:v>Complete when</x:v>
      </x:c>
    </x:row>
    <x:row r="9">
      <x:c r="A9" s="34" t="n">
        <x:v>1</x:v>
      </x:c>
      <x:c r="B9" s="34" t="str">
        <x:v>Inspect both supplied sources</x:v>
      </x:c>
      <x:c r="C9" s="34" t="str">
        <x:v>Confirmed meeting and workbook</x:v>
      </x:c>
      <x:c r="D9" s="34" t="str">
        <x:v>Use the master Excel values as current state</x:v>
      </x:c>
      <x:c r="E9" s="34" t="str">
        <x:v>5 min</x:v>
      </x:c>
      <x:c r="F9" s="34" t="str">
        <x:v>Meeting Notes + Action Register</x:v>
      </x:c>
      <x:c r="G9" s="34" t="str">
        <x:v>No entry yet</x:v>
      </x:c>
      <x:c r="H9" s="34" t="str">
        <x:v>You can name both sources</x:v>
      </x:c>
    </x:row>
    <x:row r="10">
      <x:c r="A10" s="35" t="n">
        <x:v>2</x:v>
      </x:c>
      <x:c r="B10" s="35" t="str">
        <x:v>Extract candidate changes in Copilot Chat</x:v>
      </x:c>
      <x:c r="C10" s="35" t="str">
        <x:v>Field-level proposed delta</x:v>
      </x:c>
      <x:c r="D10" s="35" t="str">
        <x:v>One row per changed field</x:v>
      </x:c>
      <x:c r="E10" s="35" t="str">
        <x:v>7 min</x:v>
      </x:c>
      <x:c r="F10" s="35" t="str">
        <x:v>Meeting Notes</x:v>
      </x:c>
      <x:c r="G10" s="35" t="str">
        <x:v>Field Change Queue</x:v>
      </x:c>
      <x:c r="H10" s="35" t="str">
        <x:v>No full-row update is proposed</x:v>
      </x:c>
    </x:row>
    <x:row r="11">
      <x:c r="A11" s="35" t="n">
        <x:v>3</x:v>
      </x:c>
      <x:c r="B11" s="35" t="str">
        <x:v>Compare every proposal with Excel</x:v>
      </x:c>
      <x:c r="C11" s="35" t="str">
        <x:v>Current and proposed values</x:v>
      </x:c>
      <x:c r="D11" s="35" t="str">
        <x:v>The current value must match the workbook</x:v>
      </x:c>
      <x:c r="E11" s="35" t="str">
        <x:v>8 min</x:v>
      </x:c>
      <x:c r="F11" s="35" t="str">
        <x:v>Action Register</x:v>
      </x:c>
      <x:c r="G11" s="35" t="str">
        <x:v>Field Change Queue</x:v>
      </x:c>
      <x:c r="H11" s="35" t="str">
        <x:v>Matches use Action IDs</x:v>
      </x:c>
    </x:row>
    <x:row r="12">
      <x:c r="A12" s="35" t="n">
        <x:v>4</x:v>
      </x:c>
      <x:c r="B12" s="35" t="str">
        <x:v>Review exceptions</x:v>
      </x:c>
      <x:c r="C12" s="35" t="str">
        <x:v>Approved, Rejected or Hold</x:v>
      </x:c>
      <x:c r="D12" s="35" t="str">
        <x:v>Do not guess missing or conflicting values</x:v>
      </x:c>
      <x:c r="E12" s="35" t="str">
        <x:v>5 min</x:v>
      </x:c>
      <x:c r="F12" s="35" t="str">
        <x:v>Both sources</x:v>
      </x:c>
      <x:c r="G12" s="35" t="str">
        <x:v>Both review queues</x:v>
      </x:c>
      <x:c r="H12" s="35" t="str">
        <x:v>Every candidate has a decision</x:v>
      </x:c>
    </x:row>
    <x:row r="13">
      <x:c r="A13" s="35" t="n">
        <x:v>5</x:v>
      </x:c>
      <x:c r="B13" s="35" t="str">
        <x:v>Apply approved changes</x:v>
      </x:c>
      <x:c r="C13" s="35" t="str">
        <x:v>Updated Action Register</x:v>
      </x:c>
      <x:c r="D13" s="35" t="str">
        <x:v>Only named fields may change</x:v>
      </x:c>
      <x:c r="E13" s="35" t="str">
        <x:v>7 min</x:v>
      </x:c>
      <x:c r="F13" s="35" t="str">
        <x:v>Approved queues</x:v>
      </x:c>
      <x:c r="G13" s="35" t="str">
        <x:v>Action Register</x:v>
      </x:c>
      <x:c r="H13" s="35" t="str">
        <x:v>No unapproved cell changed</x:v>
      </x:c>
    </x:row>
    <x:row r="14">
      <x:c r="A14" s="36" t="n">
        <x:v>6</x:v>
      </x:c>
      <x:c r="B14" s="36" t="str">
        <x:v>Audit before and after</x:v>
      </x:c>
      <x:c r="C14" s="36" t="str">
        <x:v>Changed-cell evidence</x:v>
      </x:c>
      <x:c r="D14" s="36" t="str">
        <x:v>Every edit maps to an approved Change ID</x:v>
      </x:c>
      <x:c r="E14" s="36" t="str">
        <x:v>5 min</x:v>
      </x:c>
      <x:c r="F14" s="36" t="str">
        <x:v>Snapshot + current</x:v>
      </x:c>
      <x:c r="G14" s="36" t="str">
        <x:v>Before-After Audit</x:v>
      </x:c>
      <x:c r="H14" s="36" t="str">
        <x:v>Validation shows PASS</x:v>
      </x:c>
    </x:row>
    <x:row r="16">
      <x:c r="A16" s="38" t="str">
        <x:v>Workbook colour guide</x:v>
      </x:c>
    </x:row>
    <x:row r="17">
      <x:c r="A17" s="39" t="str">
        <x:v>Yellow cells</x:v>
      </x:c>
      <x:c r="B17" s="34" t="str">
        <x:v>Participant input</x:v>
      </x:c>
      <x:c r="C17" s="34" t="str">
        <x:v>Blue sections</x:v>
      </x:c>
      <x:c r="D17" s="34" t="str">
        <x:v>Reference or formula-controlled</x:v>
      </x:c>
    </x:row>
    <x:row r="18">
      <x:c r="A18" s="36" t="str">
        <x:v>Green result</x:v>
      </x:c>
      <x:c r="B18" s="40" t="str">
        <x:v>Approved or passed</x:v>
      </x:c>
      <x:c r="C18" s="36" t="str">
        <x:v>Red result</x:v>
      </x:c>
      <x:c r="D18" s="41" t="str">
        <x:v>Exception requiring review</x:v>
      </x:c>
    </x:row>
  </x:sheetData>
  <x:mergeCells>
    <x:mergeCell ref="A1:H1"/>
    <x:mergeCell ref="A2:H2"/>
    <x:mergeCell ref="A4:H4"/>
    <x:mergeCell ref="A5:H6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34" hidden="0" customWidth="1"/>
    <x:col min="4" max="4" width="21" hidden="0" customWidth="1"/>
    <x:col min="5" max="5" width="13" hidden="0" customWidth="1"/>
    <x:col min="6" max="6" width="11" hidden="0" customWidth="1"/>
    <x:col min="7" max="7" width="15" hidden="0" customWidth="1"/>
    <x:col min="8" max="8" width="25" hidden="0" customWidth="1"/>
    <x:col min="9" max="9" width="28" hidden="0" customWidth="1"/>
    <x:col min="10" max="10" width="14" hidden="0" customWidth="1"/>
    <x:col min="11" max="11" width="31" hidden="0" customWidth="1"/>
    <x:col min="12" max="12" width="15" hidden="0" customWidth="1"/>
    <x:col min="13" max="13" width="15" hidden="0" customWidth="1"/>
  </x:cols>
  <x:sheetData>
    <x:row r="1" ht="36" customHeight="1">
      <x:c r="A1" s="4" t="str">
        <x:v>Project Atlas - Action Register</x:v>
      </x:c>
    </x:row>
    <x:row r="2" ht="28" customHeight="1">
      <x:c r="A2" s="8" t="str">
        <x:v>Master action data | Participant edits belong only in approved fields and approved new rows.</x:v>
      </x:c>
    </x:row>
    <x:row r="3">
      <x:c r="A3" s="43" t="str">
        <x:v>Current state before the 8 September meeting. Rows 13-40 are reserved for approved additions.</x:v>
      </x:c>
    </x:row>
    <x:row r="4" ht="30" customHeight="1">
      <x:c r="A4" s="24" t="str">
        <x:v>Action ID</x:v>
      </x:c>
      <x:c r="B4" s="25" t="str">
        <x:v>Project</x:v>
      </x:c>
      <x:c r="C4" s="25" t="str">
        <x:v>Action</x:v>
      </x:c>
      <x:c r="D4" s="25" t="str">
        <x:v>Owner</x:v>
      </x:c>
      <x:c r="E4" s="25" t="str">
        <x:v>Due Date</x:v>
      </x:c>
      <x:c r="F4" s="25" t="str">
        <x:v>Priority</x:v>
      </x:c>
      <x:c r="G4" s="25" t="str">
        <x:v>Status</x:v>
      </x:c>
      <x:c r="H4" s="25" t="str">
        <x:v>Dependency</x:v>
      </x:c>
      <x:c r="I4" s="25" t="str">
        <x:v>Source Meeting</x:v>
      </x:c>
      <x:c r="J4" s="25" t="str">
        <x:v>Last Updated</x:v>
      </x:c>
      <x:c r="K4" s="25" t="str">
        <x:v>Notes</x:v>
      </x:c>
      <x:c r="L4" s="25" t="str">
        <x:v>Duplicate Check</x:v>
      </x:c>
      <x:c r="M4" s="26" t="str">
        <x:v>Required Fields</x:v>
      </x:c>
    </x:row>
    <x:row r="5">
      <x:c r="A5" s="34" t="str">
        <x:v>ACT-014</x:v>
      </x:c>
      <x:c r="B5" s="34" t="str">
        <x:v>Project Atlas</x:v>
      </x:c>
      <x:c r="C5" s="34" t="str">
        <x:v>Complete SSO timeout retest</x:v>
      </x:c>
      <x:c r="D5" s="34" t="str">
        <x:v>Priya Nair</x:v>
      </x:c>
      <x:c r="E5" s="44" t="n">
        <x:v>46275</x:v>
      </x:c>
      <x:c r="F5" s="34" t="str">
        <x:v>High</x:v>
      </x:c>
      <x:c r="G5" s="34" t="str">
        <x:v>In Progress</x:v>
      </x:c>
      <x:c r="H5" s="34" t="str">
        <x:v>Security test environment</x:v>
      </x:c>
      <x:c r="I5" s="34" t="str">
        <x:v>Security Readiness - 03 Sep 2026</x:v>
      </x:c>
      <x:c r="J5" s="44" t="n">
        <x:v>46268</x:v>
      </x:c>
      <x:c r="K5" s="34" t="str">
        <x:v>External access disabled until the test passes</x:v>
      </x:c>
      <x:c r="L5" s="34" t="str">
        <x:f>IF(A5="","",IF(COUNTIF($A$5:$A$40,A5)&gt;1,"DUPLICATE","OK"))</x:f>
        <x:v>OK</x:v>
      </x:c>
      <x:c r="M5" s="34" t="str">
        <x:f>IF(A5="","",IF(OR(C5="",D5="",E5="",F5="",G5=""),"MISSING","OK"))</x:f>
        <x:v>OK</x:v>
      </x:c>
    </x:row>
    <x:row r="6">
      <x:c r="A6" s="35" t="str">
        <x:v>ACT-015</x:v>
      </x:c>
      <x:c r="B6" s="35" t="str">
        <x:v>Project Atlas</x:v>
      </x:c>
      <x:c r="C6" s="35" t="str">
        <x:v>Confirm UAT environment delivery</x:v>
      </x:c>
      <x:c r="D6" s="35" t="str">
        <x:v>Mark Chen</x:v>
      </x:c>
      <x:c r="E6" s="45" t="n">
        <x:v>46273</x:v>
      </x:c>
      <x:c r="F6" s="35" t="str">
        <x:v>High</x:v>
      </x:c>
      <x:c r="G6" s="35" t="str">
        <x:v>In Progress</x:v>
      </x:c>
      <x:c r="H6" s="35" t="str">
        <x:v>Network configuration</x:v>
      </x:c>
      <x:c r="I6" s="35" t="str">
        <x:v>Technical Sync - 02 Sep 2026</x:v>
      </x:c>
      <x:c r="J6" s="45" t="n">
        <x:v>46267</x:v>
      </x:c>
      <x:c r="K6" s="35" t="str">
        <x:v>Environment expected Tuesday morning</x:v>
      </x:c>
      <x:c r="L6" s="35" t="str">
        <x:f>IF(A6="","",IF(COUNTIF($A$5:$A$40,A6)&gt;1,"DUPLICATE","OK"))</x:f>
        <x:v>OK</x:v>
      </x:c>
      <x:c r="M6" s="35" t="str">
        <x:f>IF(A6="","",IF(OR(C6="",D6="",E6="",F6="",G6=""),"MISSING","OK"))</x:f>
        <x:v>OK</x:v>
      </x:c>
    </x:row>
    <x:row r="7">
      <x:c r="A7" s="35" t="str">
        <x:v>ACT-016</x:v>
      </x:c>
      <x:c r="B7" s="35" t="str">
        <x:v>Project Atlas</x:v>
      </x:c>
      <x:c r="C7" s="35" t="str">
        <x:v>Validate migrated user accounts sample</x:v>
      </x:c>
      <x:c r="D7" s="35" t="str">
        <x:v>Mark Chen</x:v>
      </x:c>
      <x:c r="E7" s="45" t="n">
        <x:v>46276</x:v>
      </x:c>
      <x:c r="F7" s="35" t="str">
        <x:v>High</x:v>
      </x:c>
      <x:c r="G7" s="35" t="str">
        <x:v>Not Started</x:v>
      </x:c>
      <x:c r="H7" s="35" t="str">
        <x:v>Data extract version 3</x:v>
      </x:c>
      <x:c r="I7" s="35" t="str">
        <x:v>Migration Workshop - 01 Sep 2026</x:v>
      </x:c>
      <x:c r="J7" s="45" t="n">
        <x:v>46266</x:v>
      </x:c>
      <x:c r="K7" s="35" t="str">
        <x:v>Validate a sample of 50 user accounts</x:v>
      </x:c>
      <x:c r="L7" s="35" t="str">
        <x:f>IF(A7="","",IF(COUNTIF($A$5:$A$40,A7)&gt;1,"DUPLICATE","OK"))</x:f>
        <x:v>OK</x:v>
      </x:c>
      <x:c r="M7" s="35" t="str">
        <x:f>IF(A7="","",IF(OR(C7="",D7="",E7="",F7="",G7=""),"MISSING","OK"))</x:f>
        <x:v>OK</x:v>
      </x:c>
    </x:row>
    <x:row r="8">
      <x:c r="A8" s="35" t="str">
        <x:v>ACT-017</x:v>
      </x:c>
      <x:c r="B8" s="35" t="str">
        <x:v>Project Atlas</x:v>
      </x:c>
      <x:c r="C8" s="35" t="str">
        <x:v>Draft UAT participant communication</x:v>
      </x:c>
      <x:c r="D8" s="35" t="str">
        <x:v>Sofia Rossi</x:v>
      </x:c>
      <x:c r="E8" s="45" t="n">
        <x:v>46277</x:v>
      </x:c>
      <x:c r="F8" s="35" t="str">
        <x:v>Medium</x:v>
      </x:c>
      <x:c r="G8" s="35" t="str">
        <x:v>In Progress</x:v>
      </x:c>
      <x:c r="H8" s="35" t="str">
        <x:v>Confirmed UAT start</x:v>
      </x:c>
      <x:c r="I8" s="35" t="str">
        <x:v>Change Readiness - 03 Sep 2026</x:v>
      </x:c>
      <x:c r="J8" s="45" t="n">
        <x:v>46268</x:v>
      </x:c>
      <x:c r="K8" s="35" t="str">
        <x:v>Draft includes participation instructions</x:v>
      </x:c>
      <x:c r="L8" s="35" t="str">
        <x:f>IF(A8="","",IF(COUNTIF($A$5:$A$40,A8)&gt;1,"DUPLICATE","OK"))</x:f>
        <x:v>OK</x:v>
      </x:c>
      <x:c r="M8" s="35" t="str">
        <x:f>IF(A8="","",IF(OR(C8="",D8="",E8="",F8="",G8=""),"MISSING","OK"))</x:f>
        <x:v>OK</x:v>
      </x:c>
    </x:row>
    <x:row r="9">
      <x:c r="A9" s="35" t="str">
        <x:v>ACT-018</x:v>
      </x:c>
      <x:c r="B9" s="35" t="str">
        <x:v>Project Atlas</x:v>
      </x:c>
      <x:c r="C9" s="35" t="str">
        <x:v>Publish UAT access guide</x:v>
      </x:c>
      <x:c r="D9" s="35" t="str">
        <x:v>Daniel Brooks</x:v>
      </x:c>
      <x:c r="E9" s="45" t="n">
        <x:v>46274</x:v>
      </x:c>
      <x:c r="F9" s="35" t="str">
        <x:v>Medium</x:v>
      </x:c>
      <x:c r="G9" s="35" t="str">
        <x:v>Not Started</x:v>
      </x:c>
      <x:c r="H9" s="35" t="str">
        <x:v>Environment access</x:v>
      </x:c>
      <x:c r="I9" s="35" t="str">
        <x:v>Service Desk Planning - 29 Aug 2026</x:v>
      </x:c>
      <x:c r="J9" s="45" t="n">
        <x:v>46263</x:v>
      </x:c>
      <x:c r="K9" s="35" t="str">
        <x:v>Include password-reset guidance</x:v>
      </x:c>
      <x:c r="L9" s="35" t="str">
        <x:f>IF(A9="","",IF(COUNTIF($A$5:$A$40,A9)&gt;1,"DUPLICATE","OK"))</x:f>
        <x:v>OK</x:v>
      </x:c>
      <x:c r="M9" s="35" t="str">
        <x:f>IF(A9="","",IF(OR(C9="",D9="",E9="",F9="",G9=""),"MISSING","OK"))</x:f>
        <x:v>OK</x:v>
      </x:c>
    </x:row>
    <x:row r="10">
      <x:c r="A10" s="35" t="str">
        <x:v>ACT-019</x:v>
      </x:c>
      <x:c r="B10" s="35" t="str">
        <x:v>Project Atlas</x:v>
      </x:c>
      <x:c r="C10" s="35" t="str">
        <x:v>Confirm Service Desk escalation rota</x:v>
      </x:c>
      <x:c r="D10" s="35" t="str">
        <x:v>Daniel Brooks</x:v>
      </x:c>
      <x:c r="E10" s="45" t="n">
        <x:v>46278</x:v>
      </x:c>
      <x:c r="F10" s="35" t="str">
        <x:v>Medium</x:v>
      </x:c>
      <x:c r="G10" s="35" t="str">
        <x:v>In Progress</x:v>
      </x:c>
      <x:c r="H10" s="35" t="str">
        <x:v>Support manager availability</x:v>
      </x:c>
      <x:c r="I10" s="35" t="str">
        <x:v>Service Readiness - 04 Sep 2026</x:v>
      </x:c>
      <x:c r="J10" s="45" t="n">
        <x:v>46269</x:v>
      </x:c>
      <x:c r="K10" s="35" t="str">
        <x:v>Weekend rota pending</x:v>
      </x:c>
      <x:c r="L10" s="35" t="str">
        <x:f>IF(A10="","",IF(COUNTIF($A$5:$A$40,A10)&gt;1,"DUPLICATE","OK"))</x:f>
        <x:v>OK</x:v>
      </x:c>
      <x:c r="M10" s="35" t="str">
        <x:f>IF(A10="","",IF(OR(C10="",D10="",E10="",F10="",G10=""),"MISSING","OK"))</x:f>
        <x:v>OK</x:v>
      </x:c>
    </x:row>
    <x:row r="11">
      <x:c r="A11" s="35" t="str">
        <x:v>ACT-020</x:v>
      </x:c>
      <x:c r="B11" s="35" t="str">
        <x:v>Project Atlas</x:v>
      </x:c>
      <x:c r="C11" s="35" t="str">
        <x:v>Review portal homepage wording</x:v>
      </x:c>
      <x:c r="D11" s="35" t="str">
        <x:v>Sofia Rossi</x:v>
      </x:c>
      <x:c r="E11" s="45" t="n">
        <x:v>46285</x:v>
      </x:c>
      <x:c r="F11" s="35" t="str">
        <x:v>Low</x:v>
      </x:c>
      <x:c r="G11" s="35" t="str">
        <x:v>Backlog</x:v>
      </x:c>
      <x:c r="H11" s="35" t="str">
        <x:v>Brand review</x:v>
      </x:c>
      <x:c r="I11" s="35" t="str">
        <x:v>Design Review - 28 Aug 2026</x:v>
      </x:c>
      <x:c r="J11" s="45" t="n">
        <x:v>46262</x:v>
      </x:c>
      <x:c r="K11" s="35" t="str">
        <x:v>Post-UAT improvement</x:v>
      </x:c>
      <x:c r="L11" s="35" t="str">
        <x:f>IF(A11="","",IF(COUNTIF($A$5:$A$40,A11)&gt;1,"DUPLICATE","OK"))</x:f>
        <x:v>OK</x:v>
      </x:c>
      <x:c r="M11" s="35" t="str">
        <x:f>IF(A11="","",IF(OR(C11="",D11="",E11="",F11="",G11=""),"MISSING","OK"))</x:f>
        <x:v>OK</x:v>
      </x:c>
    </x:row>
    <x:row r="12">
      <x:c r="A12" s="35" t="str">
        <x:v>ACT-021</x:v>
      </x:c>
      <x:c r="B12" s="35" t="str">
        <x:v>Project Atlas</x:v>
      </x:c>
      <x:c r="C12" s="35" t="str">
        <x:v>Obtain UAT go/no-go approval</x:v>
      </x:c>
      <x:c r="D12" s="35" t="str">
        <x:v>Hanna Serednytska</x:v>
      </x:c>
      <x:c r="E12" s="45" t="n">
        <x:v>46279</x:v>
      </x:c>
      <x:c r="F12" s="35" t="str">
        <x:v>High</x:v>
      </x:c>
      <x:c r="G12" s="35" t="str">
        <x:v>Not Started</x:v>
      </x:c>
      <x:c r="H12" s="35" t="str">
        <x:v>Security and environment evidence</x:v>
      </x:c>
      <x:c r="I12" s="35" t="str">
        <x:v>Steering Committee - 04 Sep 2026</x:v>
      </x:c>
      <x:c r="J12" s="45" t="n">
        <x:v>46269</x:v>
      </x:c>
      <x:c r="K12" s="35" t="str">
        <x:v>Approval required before launch</x:v>
      </x:c>
      <x:c r="L12" s="35" t="str">
        <x:f>IF(A12="","",IF(COUNTIF($A$5:$A$40,A12)&gt;1,"DUPLICATE","OK"))</x:f>
        <x:v>OK</x:v>
      </x:c>
      <x:c r="M12" s="35" t="str">
        <x:f>IF(A12="","",IF(OR(C12="",D12="",E12="",F12="",G12=""),"MISSING","OK"))</x:f>
        <x:v>OK</x:v>
      </x:c>
    </x:row>
    <x:row r="13">
      <x:c r="A13" s="47"/>
      <x:c r="B13" s="47"/>
      <x:c r="C13" s="47"/>
      <x:c r="D13" s="47"/>
      <x:c r="E13" s="48"/>
      <x:c r="F13" s="47"/>
      <x:c r="G13" s="47"/>
      <x:c r="H13" s="47"/>
      <x:c r="I13" s="47"/>
      <x:c r="J13" s="48"/>
      <x:c r="K13" s="47"/>
      <x:c r="L13" s="35" t="str">
        <x:f>IF(A13="","",IF(COUNTIF($A$5:$A$40,A13)&gt;1,"DUPLICATE","OK"))</x:f>
      </x:c>
      <x:c r="M13" s="35" t="str">
        <x:f>IF(A13="","",IF(OR(C13="",D13="",E13="",F13="",G13=""),"MISSING","OK"))</x:f>
      </x:c>
    </x:row>
    <x:row r="14">
      <x:c r="A14" s="47"/>
      <x:c r="B14" s="47"/>
      <x:c r="C14" s="47"/>
      <x:c r="D14" s="47"/>
      <x:c r="E14" s="48"/>
      <x:c r="F14" s="47"/>
      <x:c r="G14" s="47"/>
      <x:c r="H14" s="47"/>
      <x:c r="I14" s="47"/>
      <x:c r="J14" s="48"/>
      <x:c r="K14" s="47"/>
      <x:c r="L14" s="35" t="str">
        <x:f>IF(A14="","",IF(COUNTIF($A$5:$A$40,A14)&gt;1,"DUPLICATE","OK"))</x:f>
      </x:c>
      <x:c r="M14" s="35" t="str">
        <x:f>IF(A14="","",IF(OR(C14="",D14="",E14="",F14="",G14=""),"MISSING","OK"))</x:f>
      </x:c>
    </x:row>
    <x:row r="15">
      <x:c r="A15" s="47"/>
      <x:c r="B15" s="47"/>
      <x:c r="C15" s="47"/>
      <x:c r="D15" s="47"/>
      <x:c r="E15" s="48"/>
      <x:c r="F15" s="47"/>
      <x:c r="G15" s="47"/>
      <x:c r="H15" s="47"/>
      <x:c r="I15" s="47"/>
      <x:c r="J15" s="48"/>
      <x:c r="K15" s="47"/>
      <x:c r="L15" s="35" t="str">
        <x:f>IF(A15="","",IF(COUNTIF($A$5:$A$40,A15)&gt;1,"DUPLICATE","OK"))</x:f>
      </x:c>
      <x:c r="M15" s="35" t="str">
        <x:f>IF(A15="","",IF(OR(C15="",D15="",E15="",F15="",G15=""),"MISSING","OK"))</x:f>
      </x:c>
    </x:row>
    <x:row r="16">
      <x:c r="A16" s="47"/>
      <x:c r="B16" s="47"/>
      <x:c r="C16" s="47"/>
      <x:c r="D16" s="47"/>
      <x:c r="E16" s="48"/>
      <x:c r="F16" s="47"/>
      <x:c r="G16" s="47"/>
      <x:c r="H16" s="47"/>
      <x:c r="I16" s="47"/>
      <x:c r="J16" s="48"/>
      <x:c r="K16" s="47"/>
      <x:c r="L16" s="35" t="str">
        <x:f>IF(A16="","",IF(COUNTIF($A$5:$A$40,A16)&gt;1,"DUPLICATE","OK"))</x:f>
      </x:c>
      <x:c r="M16" s="35" t="str">
        <x:f>IF(A16="","",IF(OR(C16="",D16="",E16="",F16="",G16=""),"MISSING","OK"))</x:f>
      </x:c>
    </x:row>
    <x:row r="17">
      <x:c r="A17" s="47"/>
      <x:c r="B17" s="47"/>
      <x:c r="C17" s="47"/>
      <x:c r="D17" s="47"/>
      <x:c r="E17" s="48"/>
      <x:c r="F17" s="47"/>
      <x:c r="G17" s="47"/>
      <x:c r="H17" s="47"/>
      <x:c r="I17" s="47"/>
      <x:c r="J17" s="48"/>
      <x:c r="K17" s="47"/>
      <x:c r="L17" s="35" t="str">
        <x:f>IF(A17="","",IF(COUNTIF($A$5:$A$40,A17)&gt;1,"DUPLICATE","OK"))</x:f>
      </x:c>
      <x:c r="M17" s="35" t="str">
        <x:f>IF(A17="","",IF(OR(C17="",D17="",E17="",F17="",G17=""),"MISSING","OK"))</x:f>
      </x:c>
    </x:row>
    <x:row r="18">
      <x:c r="A18" s="47"/>
      <x:c r="B18" s="47"/>
      <x:c r="C18" s="47"/>
      <x:c r="D18" s="47"/>
      <x:c r="E18" s="48"/>
      <x:c r="F18" s="47"/>
      <x:c r="G18" s="47"/>
      <x:c r="H18" s="47"/>
      <x:c r="I18" s="47"/>
      <x:c r="J18" s="48"/>
      <x:c r="K18" s="47"/>
      <x:c r="L18" s="35" t="str">
        <x:f>IF(A18="","",IF(COUNTIF($A$5:$A$40,A18)&gt;1,"DUPLICATE","OK"))</x:f>
      </x:c>
      <x:c r="M18" s="35" t="str">
        <x:f>IF(A18="","",IF(OR(C18="",D18="",E18="",F18="",G18=""),"MISSING","OK"))</x:f>
      </x:c>
    </x:row>
    <x:row r="19">
      <x:c r="A19" s="47"/>
      <x:c r="B19" s="47"/>
      <x:c r="C19" s="47"/>
      <x:c r="D19" s="47"/>
      <x:c r="E19" s="48"/>
      <x:c r="F19" s="47"/>
      <x:c r="G19" s="47"/>
      <x:c r="H19" s="47"/>
      <x:c r="I19" s="47"/>
      <x:c r="J19" s="48"/>
      <x:c r="K19" s="47"/>
      <x:c r="L19" s="35" t="str">
        <x:f>IF(A19="","",IF(COUNTIF($A$5:$A$40,A19)&gt;1,"DUPLICATE","OK"))</x:f>
      </x:c>
      <x:c r="M19" s="35" t="str">
        <x:f>IF(A19="","",IF(OR(C19="",D19="",E19="",F19="",G19=""),"MISSING","OK"))</x:f>
      </x:c>
    </x:row>
    <x:row r="20">
      <x:c r="A20" s="47"/>
      <x:c r="B20" s="47"/>
      <x:c r="C20" s="47"/>
      <x:c r="D20" s="47"/>
      <x:c r="E20" s="48"/>
      <x:c r="F20" s="47"/>
      <x:c r="G20" s="47"/>
      <x:c r="H20" s="47"/>
      <x:c r="I20" s="47"/>
      <x:c r="J20" s="48"/>
      <x:c r="K20" s="47"/>
      <x:c r="L20" s="35" t="str">
        <x:f>IF(A20="","",IF(COUNTIF($A$5:$A$40,A20)&gt;1,"DUPLICATE","OK"))</x:f>
      </x:c>
      <x:c r="M20" s="35" t="str">
        <x:f>IF(A20="","",IF(OR(C20="",D20="",E20="",F20="",G20=""),"MISSING","OK"))</x:f>
      </x:c>
    </x:row>
    <x:row r="21">
      <x:c r="A21" s="47"/>
      <x:c r="B21" s="47"/>
      <x:c r="C21" s="47"/>
      <x:c r="D21" s="47"/>
      <x:c r="E21" s="48"/>
      <x:c r="F21" s="47"/>
      <x:c r="G21" s="47"/>
      <x:c r="H21" s="47"/>
      <x:c r="I21" s="47"/>
      <x:c r="J21" s="48"/>
      <x:c r="K21" s="47"/>
      <x:c r="L21" s="35" t="str">
        <x:f>IF(A21="","",IF(COUNTIF($A$5:$A$40,A21)&gt;1,"DUPLICATE","OK"))</x:f>
      </x:c>
      <x:c r="M21" s="35" t="str">
        <x:f>IF(A21="","",IF(OR(C21="",D21="",E21="",F21="",G21=""),"MISSING","OK"))</x:f>
      </x:c>
    </x:row>
    <x:row r="22">
      <x:c r="A22" s="47"/>
      <x:c r="B22" s="47"/>
      <x:c r="C22" s="47"/>
      <x:c r="D22" s="47"/>
      <x:c r="E22" s="48"/>
      <x:c r="F22" s="47"/>
      <x:c r="G22" s="47"/>
      <x:c r="H22" s="47"/>
      <x:c r="I22" s="47"/>
      <x:c r="J22" s="48"/>
      <x:c r="K22" s="47"/>
      <x:c r="L22" s="35" t="str">
        <x:f>IF(A22="","",IF(COUNTIF($A$5:$A$40,A22)&gt;1,"DUPLICATE","OK"))</x:f>
      </x:c>
      <x:c r="M22" s="35" t="str">
        <x:f>IF(A22="","",IF(OR(C22="",D22="",E22="",F22="",G22=""),"MISSING","OK"))</x:f>
      </x:c>
    </x:row>
    <x:row r="23">
      <x:c r="A23" s="47"/>
      <x:c r="B23" s="47"/>
      <x:c r="C23" s="47"/>
      <x:c r="D23" s="47"/>
      <x:c r="E23" s="48"/>
      <x:c r="F23" s="47"/>
      <x:c r="G23" s="47"/>
      <x:c r="H23" s="47"/>
      <x:c r="I23" s="47"/>
      <x:c r="J23" s="48"/>
      <x:c r="K23" s="47"/>
      <x:c r="L23" s="35" t="str">
        <x:f>IF(A23="","",IF(COUNTIF($A$5:$A$40,A23)&gt;1,"DUPLICATE","OK"))</x:f>
      </x:c>
      <x:c r="M23" s="35" t="str">
        <x:f>IF(A23="","",IF(OR(C23="",D23="",E23="",F23="",G23=""),"MISSING","OK"))</x:f>
      </x:c>
    </x:row>
    <x:row r="24">
      <x:c r="A24" s="47"/>
      <x:c r="B24" s="47"/>
      <x:c r="C24" s="47"/>
      <x:c r="D24" s="47"/>
      <x:c r="E24" s="48"/>
      <x:c r="F24" s="47"/>
      <x:c r="G24" s="47"/>
      <x:c r="H24" s="47"/>
      <x:c r="I24" s="47"/>
      <x:c r="J24" s="48"/>
      <x:c r="K24" s="47"/>
      <x:c r="L24" s="35" t="str">
        <x:f>IF(A24="","",IF(COUNTIF($A$5:$A$40,A24)&gt;1,"DUPLICATE","OK"))</x:f>
      </x:c>
      <x:c r="M24" s="35" t="str">
        <x:f>IF(A24="","",IF(OR(C24="",D24="",E24="",F24="",G24=""),"MISSING","OK"))</x:f>
      </x:c>
    </x:row>
    <x:row r="25">
      <x:c r="A25" s="47"/>
      <x:c r="B25" s="47"/>
      <x:c r="C25" s="47"/>
      <x:c r="D25" s="47"/>
      <x:c r="E25" s="48"/>
      <x:c r="F25" s="47"/>
      <x:c r="G25" s="47"/>
      <x:c r="H25" s="47"/>
      <x:c r="I25" s="47"/>
      <x:c r="J25" s="48"/>
      <x:c r="K25" s="47"/>
      <x:c r="L25" s="35" t="str">
        <x:f>IF(A25="","",IF(COUNTIF($A$5:$A$40,A25)&gt;1,"DUPLICATE","OK"))</x:f>
      </x:c>
      <x:c r="M25" s="35" t="str">
        <x:f>IF(A25="","",IF(OR(C25="",D25="",E25="",F25="",G25=""),"MISSING","OK"))</x:f>
      </x:c>
    </x:row>
    <x:row r="26">
      <x:c r="A26" s="47"/>
      <x:c r="B26" s="47"/>
      <x:c r="C26" s="47"/>
      <x:c r="D26" s="47"/>
      <x:c r="E26" s="48"/>
      <x:c r="F26" s="47"/>
      <x:c r="G26" s="47"/>
      <x:c r="H26" s="47"/>
      <x:c r="I26" s="47"/>
      <x:c r="J26" s="48"/>
      <x:c r="K26" s="47"/>
      <x:c r="L26" s="35" t="str">
        <x:f>IF(A26="","",IF(COUNTIF($A$5:$A$40,A26)&gt;1,"DUPLICATE","OK"))</x:f>
      </x:c>
      <x:c r="M26" s="35" t="str">
        <x:f>IF(A26="","",IF(OR(C26="",D26="",E26="",F26="",G26=""),"MISSING","OK"))</x:f>
      </x:c>
    </x:row>
    <x:row r="27">
      <x:c r="A27" s="47"/>
      <x:c r="B27" s="47"/>
      <x:c r="C27" s="47"/>
      <x:c r="D27" s="47"/>
      <x:c r="E27" s="48"/>
      <x:c r="F27" s="47"/>
      <x:c r="G27" s="47"/>
      <x:c r="H27" s="47"/>
      <x:c r="I27" s="47"/>
      <x:c r="J27" s="48"/>
      <x:c r="K27" s="47"/>
      <x:c r="L27" s="35" t="str">
        <x:f>IF(A27="","",IF(COUNTIF($A$5:$A$40,A27)&gt;1,"DUPLICATE","OK"))</x:f>
      </x:c>
      <x:c r="M27" s="35" t="str">
        <x:f>IF(A27="","",IF(OR(C27="",D27="",E27="",F27="",G27=""),"MISSING","OK"))</x:f>
      </x:c>
    </x:row>
    <x:row r="28">
      <x:c r="A28" s="47"/>
      <x:c r="B28" s="47"/>
      <x:c r="C28" s="47"/>
      <x:c r="D28" s="47"/>
      <x:c r="E28" s="48"/>
      <x:c r="F28" s="47"/>
      <x:c r="G28" s="47"/>
      <x:c r="H28" s="47"/>
      <x:c r="I28" s="47"/>
      <x:c r="J28" s="48"/>
      <x:c r="K28" s="47"/>
      <x:c r="L28" s="35" t="str">
        <x:f>IF(A28="","",IF(COUNTIF($A$5:$A$40,A28)&gt;1,"DUPLICATE","OK"))</x:f>
      </x:c>
      <x:c r="M28" s="35" t="str">
        <x:f>IF(A28="","",IF(OR(C28="",D28="",E28="",F28="",G28=""),"MISSING","OK"))</x:f>
      </x:c>
    </x:row>
    <x:row r="29">
      <x:c r="A29" s="47"/>
      <x:c r="B29" s="47"/>
      <x:c r="C29" s="47"/>
      <x:c r="D29" s="47"/>
      <x:c r="E29" s="48"/>
      <x:c r="F29" s="47"/>
      <x:c r="G29" s="47"/>
      <x:c r="H29" s="47"/>
      <x:c r="I29" s="47"/>
      <x:c r="J29" s="48"/>
      <x:c r="K29" s="47"/>
      <x:c r="L29" s="35" t="str">
        <x:f>IF(A29="","",IF(COUNTIF($A$5:$A$40,A29)&gt;1,"DUPLICATE","OK"))</x:f>
      </x:c>
      <x:c r="M29" s="35" t="str">
        <x:f>IF(A29="","",IF(OR(C29="",D29="",E29="",F29="",G29=""),"MISSING","OK"))</x:f>
      </x:c>
    </x:row>
    <x:row r="30">
      <x:c r="A30" s="47"/>
      <x:c r="B30" s="47"/>
      <x:c r="C30" s="47"/>
      <x:c r="D30" s="47"/>
      <x:c r="E30" s="48"/>
      <x:c r="F30" s="47"/>
      <x:c r="G30" s="47"/>
      <x:c r="H30" s="47"/>
      <x:c r="I30" s="47"/>
      <x:c r="J30" s="48"/>
      <x:c r="K30" s="47"/>
      <x:c r="L30" s="35" t="str">
        <x:f>IF(A30="","",IF(COUNTIF($A$5:$A$40,A30)&gt;1,"DUPLICATE","OK"))</x:f>
      </x:c>
      <x:c r="M30" s="35" t="str">
        <x:f>IF(A30="","",IF(OR(C30="",D30="",E30="",F30="",G30=""),"MISSING","OK"))</x:f>
      </x:c>
    </x:row>
    <x:row r="31">
      <x:c r="A31" s="47"/>
      <x:c r="B31" s="47"/>
      <x:c r="C31" s="47"/>
      <x:c r="D31" s="47"/>
      <x:c r="E31" s="48"/>
      <x:c r="F31" s="47"/>
      <x:c r="G31" s="47"/>
      <x:c r="H31" s="47"/>
      <x:c r="I31" s="47"/>
      <x:c r="J31" s="48"/>
      <x:c r="K31" s="47"/>
      <x:c r="L31" s="35" t="str">
        <x:f>IF(A31="","",IF(COUNTIF($A$5:$A$40,A31)&gt;1,"DUPLICATE","OK"))</x:f>
      </x:c>
      <x:c r="M31" s="35" t="str">
        <x:f>IF(A31="","",IF(OR(C31="",D31="",E31="",F31="",G31=""),"MISSING","OK"))</x:f>
      </x:c>
    </x:row>
    <x:row r="32">
      <x:c r="A32" s="47"/>
      <x:c r="B32" s="47"/>
      <x:c r="C32" s="47"/>
      <x:c r="D32" s="47"/>
      <x:c r="E32" s="48"/>
      <x:c r="F32" s="47"/>
      <x:c r="G32" s="47"/>
      <x:c r="H32" s="47"/>
      <x:c r="I32" s="47"/>
      <x:c r="J32" s="48"/>
      <x:c r="K32" s="47"/>
      <x:c r="L32" s="35" t="str">
        <x:f>IF(A32="","",IF(COUNTIF($A$5:$A$40,A32)&gt;1,"DUPLICATE","OK"))</x:f>
      </x:c>
      <x:c r="M32" s="35" t="str">
        <x:f>IF(A32="","",IF(OR(C32="",D32="",E32="",F32="",G32=""),"MISSING","OK"))</x:f>
      </x:c>
    </x:row>
    <x:row r="33">
      <x:c r="A33" s="47"/>
      <x:c r="B33" s="47"/>
      <x:c r="C33" s="47"/>
      <x:c r="D33" s="47"/>
      <x:c r="E33" s="48"/>
      <x:c r="F33" s="47"/>
      <x:c r="G33" s="47"/>
      <x:c r="H33" s="47"/>
      <x:c r="I33" s="47"/>
      <x:c r="J33" s="48"/>
      <x:c r="K33" s="47"/>
      <x:c r="L33" s="35" t="str">
        <x:f>IF(A33="","",IF(COUNTIF($A$5:$A$40,A33)&gt;1,"DUPLICATE","OK"))</x:f>
      </x:c>
      <x:c r="M33" s="35" t="str">
        <x:f>IF(A33="","",IF(OR(C33="",D33="",E33="",F33="",G33=""),"MISSING","OK"))</x:f>
      </x:c>
    </x:row>
    <x:row r="34">
      <x:c r="A34" s="47"/>
      <x:c r="B34" s="47"/>
      <x:c r="C34" s="47"/>
      <x:c r="D34" s="47"/>
      <x:c r="E34" s="48"/>
      <x:c r="F34" s="47"/>
      <x:c r="G34" s="47"/>
      <x:c r="H34" s="47"/>
      <x:c r="I34" s="47"/>
      <x:c r="J34" s="48"/>
      <x:c r="K34" s="47"/>
      <x:c r="L34" s="35" t="str">
        <x:f>IF(A34="","",IF(COUNTIF($A$5:$A$40,A34)&gt;1,"DUPLICATE","OK"))</x:f>
      </x:c>
      <x:c r="M34" s="35" t="str">
        <x:f>IF(A34="","",IF(OR(C34="",D34="",E34="",F34="",G34=""),"MISSING","OK"))</x:f>
      </x:c>
    </x:row>
    <x:row r="35">
      <x:c r="A35" s="47"/>
      <x:c r="B35" s="47"/>
      <x:c r="C35" s="47"/>
      <x:c r="D35" s="47"/>
      <x:c r="E35" s="48"/>
      <x:c r="F35" s="47"/>
      <x:c r="G35" s="47"/>
      <x:c r="H35" s="47"/>
      <x:c r="I35" s="47"/>
      <x:c r="J35" s="48"/>
      <x:c r="K35" s="47"/>
      <x:c r="L35" s="35" t="str">
        <x:f>IF(A35="","",IF(COUNTIF($A$5:$A$40,A35)&gt;1,"DUPLICATE","OK"))</x:f>
      </x:c>
      <x:c r="M35" s="35" t="str">
        <x:f>IF(A35="","",IF(OR(C35="",D35="",E35="",F35="",G35=""),"MISSING","OK"))</x:f>
      </x:c>
    </x:row>
    <x:row r="36">
      <x:c r="A36" s="47"/>
      <x:c r="B36" s="47"/>
      <x:c r="C36" s="47"/>
      <x:c r="D36" s="47"/>
      <x:c r="E36" s="48"/>
      <x:c r="F36" s="47"/>
      <x:c r="G36" s="47"/>
      <x:c r="H36" s="47"/>
      <x:c r="I36" s="47"/>
      <x:c r="J36" s="48"/>
      <x:c r="K36" s="47"/>
      <x:c r="L36" s="35" t="str">
        <x:f>IF(A36="","",IF(COUNTIF($A$5:$A$40,A36)&gt;1,"DUPLICATE","OK"))</x:f>
      </x:c>
      <x:c r="M36" s="35" t="str">
        <x:f>IF(A36="","",IF(OR(C36="",D36="",E36="",F36="",G36=""),"MISSING","OK"))</x:f>
      </x:c>
    </x:row>
    <x:row r="37">
      <x:c r="A37" s="47"/>
      <x:c r="B37" s="47"/>
      <x:c r="C37" s="47"/>
      <x:c r="D37" s="47"/>
      <x:c r="E37" s="48"/>
      <x:c r="F37" s="47"/>
      <x:c r="G37" s="47"/>
      <x:c r="H37" s="47"/>
      <x:c r="I37" s="47"/>
      <x:c r="J37" s="48"/>
      <x:c r="K37" s="47"/>
      <x:c r="L37" s="35" t="str">
        <x:f>IF(A37="","",IF(COUNTIF($A$5:$A$40,A37)&gt;1,"DUPLICATE","OK"))</x:f>
      </x:c>
      <x:c r="M37" s="35" t="str">
        <x:f>IF(A37="","",IF(OR(C37="",D37="",E37="",F37="",G37=""),"MISSING","OK"))</x:f>
      </x:c>
    </x:row>
    <x:row r="38">
      <x:c r="A38" s="47"/>
      <x:c r="B38" s="47"/>
      <x:c r="C38" s="47"/>
      <x:c r="D38" s="47"/>
      <x:c r="E38" s="48"/>
      <x:c r="F38" s="47"/>
      <x:c r="G38" s="47"/>
      <x:c r="H38" s="47"/>
      <x:c r="I38" s="47"/>
      <x:c r="J38" s="48"/>
      <x:c r="K38" s="47"/>
      <x:c r="L38" s="35" t="str">
        <x:f>IF(A38="","",IF(COUNTIF($A$5:$A$40,A38)&gt;1,"DUPLICATE","OK"))</x:f>
      </x:c>
      <x:c r="M38" s="35" t="str">
        <x:f>IF(A38="","",IF(OR(C38="",D38="",E38="",F38="",G38=""),"MISSING","OK"))</x:f>
      </x:c>
    </x:row>
    <x:row r="39">
      <x:c r="A39" s="47"/>
      <x:c r="B39" s="47"/>
      <x:c r="C39" s="47"/>
      <x:c r="D39" s="47"/>
      <x:c r="E39" s="48"/>
      <x:c r="F39" s="47"/>
      <x:c r="G39" s="47"/>
      <x:c r="H39" s="47"/>
      <x:c r="I39" s="47"/>
      <x:c r="J39" s="48"/>
      <x:c r="K39" s="47"/>
      <x:c r="L39" s="35" t="str">
        <x:f>IF(A39="","",IF(COUNTIF($A$5:$A$40,A39)&gt;1,"DUPLICATE","OK"))</x:f>
      </x:c>
      <x:c r="M39" s="35" t="str">
        <x:f>IF(A39="","",IF(OR(C39="",D39="",E39="",F39="",G39=""),"MISSING","OK"))</x:f>
      </x:c>
    </x:row>
    <x:row r="40">
      <x:c r="A40" s="49"/>
      <x:c r="B40" s="49"/>
      <x:c r="C40" s="49"/>
      <x:c r="D40" s="49"/>
      <x:c r="E40" s="50"/>
      <x:c r="F40" s="49"/>
      <x:c r="G40" s="49"/>
      <x:c r="H40" s="49"/>
      <x:c r="I40" s="49"/>
      <x:c r="J40" s="50"/>
      <x:c r="K40" s="49"/>
      <x:c r="L40" s="36" t="str">
        <x:f>IF(A40="","",IF(COUNTIF($A$5:$A$40,A40)&gt;1,"DUPLICATE","OK"))</x:f>
      </x:c>
      <x:c r="M40" s="36" t="str">
        <x:f>IF(A40="","",IF(OR(C40="",D40="",E40="",F40="",G40=""),"MISSING","OK"))</x:f>
      </x:c>
    </x:row>
  </x:sheetData>
  <x:mergeCells>
    <x:mergeCell ref="A1:M1"/>
    <x:mergeCell ref="A2:M2"/>
    <x:mergeCell ref="A3:M3"/>
  </x:mergeCells>
  <x:conditionalFormatting sqref="L5:L40">
    <x:cfRule type="containsText" dxfId="0" priority="1" operator="containsText" text="DUPLICATE"/>
  </x:conditionalFormatting>
  <x:conditionalFormatting sqref="M5:M40">
    <x:cfRule type="containsText" dxfId="1" priority="2" operator="containsText" text="MISSING"/>
  </x:conditionalFormatting>
  <x:conditionalFormatting sqref="G5:G40">
    <x:cfRule type="containsText" dxfId="2" priority="3" operator="containsText" text="Completed"/>
  </x:conditionalFormatting>
  <x:dataValidations count="3">
    <x:dataValidation type="list" sqref="D5:D40">
      <x:formula1>"Priya Nair,Mark Chen,Sofia Rossi,Daniel Brooks,Hanna Serednytska"</x:formula1>
    </x:dataValidation>
    <x:dataValidation type="list" sqref="F5:F40">
      <x:formula1>"High,Medium,Low"</x:formula1>
    </x:dataValidation>
    <x:dataValidation type="list" sqref="G5:G40">
      <x:formula1>"Not Started,In Progress,Blocked,Completed,Cancelled,Backlog"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e0d77db49249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22" hidden="0" customWidth="1"/>
    <x:col min="6" max="6" width="23" hidden="0" customWidth="1"/>
    <x:col min="7" max="7" width="42" hidden="0" customWidth="1"/>
    <x:col min="8" max="8" width="28" hidden="0" customWidth="1"/>
    <x:col min="9" max="9" width="16" hidden="0" customWidth="1"/>
    <x:col min="10" max="10" width="11" hidden="0" customWidth="1"/>
  </x:cols>
  <x:sheetData>
    <x:row r="1" ht="36" customHeight="1">
      <x:c r="A1" s="4" t="str">
        <x:v>Field Change Queue</x:v>
      </x:c>
    </x:row>
    <x:row r="2" ht="28" customHeight="1">
      <x:c r="A2" s="8" t="str">
        <x:v>One row per proposed field change for an existing Action ID. Never replace the whole row.</x:v>
      </x:c>
    </x:row>
    <x:row r="3">
      <x:c r="A3" s="53" t="str">
        <x:v>Yellow cells are participant input. Compare the exact current Excel value before approving a proposed value.</x:v>
      </x:c>
    </x:row>
    <x:row r="4" ht="30" customHeight="1">
      <x:c r="A4" s="24" t="str">
        <x:v>Change ID</x:v>
      </x:c>
      <x:c r="B4" s="25" t="str">
        <x:v>Action ID</x:v>
      </x:c>
      <x:c r="C4" s="25" t="str">
        <x:v>Classification</x:v>
      </x:c>
      <x:c r="D4" s="25" t="str">
        <x:v>Field to Change</x:v>
      </x:c>
      <x:c r="E4" s="25" t="str">
        <x:v>Current Value</x:v>
      </x:c>
      <x:c r="F4" s="25" t="str">
        <x:v>Proposed Value</x:v>
      </x:c>
      <x:c r="G4" s="25" t="str">
        <x:v>Exact Meeting Evidence</x:v>
      </x:c>
      <x:c r="H4" s="25" t="str">
        <x:v>Missing or Conflict</x:v>
      </x:c>
      <x:c r="I4" s="25" t="str">
        <x:v>Human Decision</x:v>
      </x:c>
      <x:c r="J4" s="26" t="str">
        <x:v>Applied?</x:v>
      </x:c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</x:row>
    <x:row r="8">
      <x:c r="A8" s="54"/>
      <x:c r="B8" s="54"/>
      <x:c r="C8" s="54"/>
      <x:c r="D8" s="54"/>
      <x:c r="E8" s="54"/>
      <x:c r="F8" s="54"/>
      <x:c r="G8" s="54"/>
      <x:c r="H8" s="54"/>
      <x:c r="I8" s="54"/>
      <x:c r="J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</x:row>
  </x:sheetData>
  <x:mergeCells>
    <x:mergeCell ref="A1:J1"/>
    <x:mergeCell ref="A2:J2"/>
    <x:mergeCell ref="A3:J3"/>
  </x:mergeCells>
  <x:conditionalFormatting sqref="I5:I24">
    <x:cfRule type="containsText" dxfId="3" priority="1" operator="containsText" text="Approved"/>
    <x:cfRule type="containsText" dxfId="4" priority="2" operator="containsText" text="Rejected"/>
    <x:cfRule type="containsText" dxfId="5" priority="3" operator="containsText" text="Hold"/>
  </x:conditionalFormatting>
  <x:dataValidations count="4">
    <x:dataValidation type="list" sqref="C5:C24">
      <x:formula1>"UPDATE_FIELD,NO_CHANGE,DUPLICATE,HOLD,NOT_AN_ACTION"</x:formula1>
    </x:dataValidation>
    <x:dataValidation type="list" sqref="D5:D24">
      <x:formula1>"Action,Owner,Due Date,Priority,Status,Dependency,Source Meeting,Last Updated,Notes,None"</x:formula1>
    </x:dataValidation>
    <x:dataValidation type="list" sqref="I5:I24">
      <x:formula1>"Approved,Rejected,Hold"</x:formula1>
    </x:dataValidation>
    <x:dataValidation type="list" sqref="J5:J2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83a3486d6544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21" hidden="0" customWidth="1"/>
    <x:col min="4" max="4" width="13" hidden="0" customWidth="1"/>
    <x:col min="5" max="5" width="11" hidden="0" customWidth="1"/>
    <x:col min="6" max="6" width="15" hidden="0" customWidth="1"/>
    <x:col min="7" max="7" width="28" hidden="0" customWidth="1"/>
    <x:col min="8" max="8" width="27" hidden="0" customWidth="1"/>
    <x:col min="9" max="9" width="42" hidden="0" customWidth="1"/>
    <x:col min="10" max="10" width="27" hidden="0" customWidth="1"/>
    <x:col min="11" max="11" width="16" hidden="0" customWidth="1"/>
    <x:col min="12" max="12" width="17" hidden="0" customWidth="1"/>
    <x:col min="13" max="13" width="11" hidden="0" customWidth="1"/>
  </x:cols>
  <x:sheetData>
    <x:row r="1" ht="36" customHeight="1">
      <x:c r="A1" s="4" t="str">
        <x:v>New Action Queue</x:v>
      </x:c>
    </x:row>
    <x:row r="2" ht="28" customHeight="1">
      <x:c r="A2" s="8" t="str">
        <x:v>Create a full row only when the task and all required values are sufficiently confirmed.</x:v>
      </x:c>
    </x:row>
    <x:row r="3">
      <x:c r="A3" s="53" t="str">
        <x:v>A missing or conflicting required field means Hold. Do not invent values to make a new action complete.</x:v>
      </x:c>
    </x:row>
    <x:row r="4" ht="30" customHeight="1">
      <x:c r="A4" s="24" t="str">
        <x:v>Candidate ID</x:v>
      </x:c>
      <x:c r="B4" s="25" t="str">
        <x:v>Action Description</x:v>
      </x:c>
      <x:c r="C4" s="25" t="str">
        <x:v>Owner</x:v>
      </x:c>
      <x:c r="D4" s="25" t="str">
        <x:v>Due Date</x:v>
      </x:c>
      <x:c r="E4" s="25" t="str">
        <x:v>Priority</x:v>
      </x:c>
      <x:c r="F4" s="25" t="str">
        <x:v>Status</x:v>
      </x:c>
      <x:c r="G4" s="25" t="str">
        <x:v>Dependency</x:v>
      </x:c>
      <x:c r="H4" s="25" t="str">
        <x:v>Source Meeting</x:v>
      </x:c>
      <x:c r="I4" s="25" t="str">
        <x:v>Exact Evidence</x:v>
      </x:c>
      <x:c r="J4" s="25" t="str">
        <x:v>Missing or Conflict</x:v>
      </x:c>
      <x:c r="K4" s="25" t="str">
        <x:v>Human Decision</x:v>
      </x:c>
      <x:c r="L4" s="25" t="str">
        <x:v>Assigned Action ID</x:v>
      </x:c>
      <x:c r="M4" s="26" t="str">
        <x:v>Applied?</x:v>
      </x:c>
    </x:row>
    <x:row r="5">
      <x:c r="A5" s="39"/>
      <x:c r="B5" s="39"/>
      <x:c r="C5" s="39"/>
      <x:c r="D5" s="56"/>
      <x:c r="E5" s="39"/>
      <x:c r="F5" s="39"/>
      <x:c r="G5" s="39"/>
      <x:c r="H5" s="39"/>
      <x:c r="I5" s="39"/>
      <x:c r="J5" s="39"/>
      <x:c r="K5" s="39"/>
      <x:c r="L5" s="39"/>
      <x:c r="M5" s="39"/>
    </x:row>
    <x:row r="6">
      <x:c r="A6" s="54"/>
      <x:c r="B6" s="54"/>
      <x:c r="C6" s="54"/>
      <x:c r="D6" s="57"/>
      <x:c r="E6" s="54"/>
      <x:c r="F6" s="54"/>
      <x:c r="G6" s="54"/>
      <x:c r="H6" s="54"/>
      <x:c r="I6" s="54"/>
      <x:c r="J6" s="54"/>
      <x:c r="K6" s="54"/>
      <x:c r="L6" s="54"/>
      <x:c r="M6" s="54"/>
    </x:row>
    <x:row r="7">
      <x:c r="A7" s="54"/>
      <x:c r="B7" s="54"/>
      <x:c r="C7" s="54"/>
      <x:c r="D7" s="57"/>
      <x:c r="E7" s="54"/>
      <x:c r="F7" s="54"/>
      <x:c r="G7" s="54"/>
      <x:c r="H7" s="54"/>
      <x:c r="I7" s="54"/>
      <x:c r="J7" s="54"/>
      <x:c r="K7" s="54"/>
      <x:c r="L7" s="54"/>
      <x:c r="M7" s="54"/>
    </x:row>
    <x:row r="8">
      <x:c r="A8" s="54"/>
      <x:c r="B8" s="54"/>
      <x:c r="C8" s="54"/>
      <x:c r="D8" s="57"/>
      <x:c r="E8" s="54"/>
      <x:c r="F8" s="54"/>
      <x:c r="G8" s="54"/>
      <x:c r="H8" s="54"/>
      <x:c r="I8" s="54"/>
      <x:c r="J8" s="54"/>
      <x:c r="K8" s="54"/>
      <x:c r="L8" s="54"/>
      <x:c r="M8" s="54"/>
    </x:row>
    <x:row r="9">
      <x:c r="A9" s="54"/>
      <x:c r="B9" s="54"/>
      <x:c r="C9" s="54"/>
      <x:c r="D9" s="57"/>
      <x:c r="E9" s="54"/>
      <x:c r="F9" s="54"/>
      <x:c r="G9" s="54"/>
      <x:c r="H9" s="54"/>
      <x:c r="I9" s="54"/>
      <x:c r="J9" s="54"/>
      <x:c r="K9" s="54"/>
      <x:c r="L9" s="54"/>
      <x:c r="M9" s="54"/>
    </x:row>
    <x:row r="10">
      <x:c r="A10" s="54"/>
      <x:c r="B10" s="54"/>
      <x:c r="C10" s="54"/>
      <x:c r="D10" s="57"/>
      <x:c r="E10" s="54"/>
      <x:c r="F10" s="54"/>
      <x:c r="G10" s="54"/>
      <x:c r="H10" s="54"/>
      <x:c r="I10" s="54"/>
      <x:c r="J10" s="54"/>
      <x:c r="K10" s="54"/>
      <x:c r="L10" s="54"/>
      <x:c r="M10" s="54"/>
    </x:row>
    <x:row r="11">
      <x:c r="A11" s="54"/>
      <x:c r="B11" s="54"/>
      <x:c r="C11" s="54"/>
      <x:c r="D11" s="57"/>
      <x:c r="E11" s="54"/>
      <x:c r="F11" s="54"/>
      <x:c r="G11" s="54"/>
      <x:c r="H11" s="54"/>
      <x:c r="I11" s="54"/>
      <x:c r="J11" s="54"/>
      <x:c r="K11" s="54"/>
      <x:c r="L11" s="54"/>
      <x:c r="M11" s="54"/>
    </x:row>
    <x:row r="12">
      <x:c r="A12" s="54"/>
      <x:c r="B12" s="54"/>
      <x:c r="C12" s="54"/>
      <x:c r="D12" s="57"/>
      <x:c r="E12" s="54"/>
      <x:c r="F12" s="54"/>
      <x:c r="G12" s="54"/>
      <x:c r="H12" s="54"/>
      <x:c r="I12" s="54"/>
      <x:c r="J12" s="54"/>
      <x:c r="K12" s="54"/>
      <x:c r="L12" s="54"/>
      <x:c r="M12" s="54"/>
    </x:row>
    <x:row r="13">
      <x:c r="A13" s="54"/>
      <x:c r="B13" s="54"/>
      <x:c r="C13" s="54"/>
      <x:c r="D13" s="57"/>
      <x:c r="E13" s="54"/>
      <x:c r="F13" s="54"/>
      <x:c r="G13" s="54"/>
      <x:c r="H13" s="54"/>
      <x:c r="I13" s="54"/>
      <x:c r="J13" s="54"/>
      <x:c r="K13" s="54"/>
      <x:c r="L13" s="54"/>
      <x:c r="M13" s="54"/>
    </x:row>
    <x:row r="14">
      <x:c r="A14" s="54"/>
      <x:c r="B14" s="54"/>
      <x:c r="C14" s="54"/>
      <x:c r="D14" s="57"/>
      <x:c r="E14" s="54"/>
      <x:c r="F14" s="54"/>
      <x:c r="G14" s="54"/>
      <x:c r="H14" s="54"/>
      <x:c r="I14" s="54"/>
      <x:c r="J14" s="54"/>
      <x:c r="K14" s="54"/>
      <x:c r="L14" s="54"/>
      <x:c r="M14" s="54"/>
    </x:row>
    <x:row r="15">
      <x:c r="A15" s="55"/>
      <x:c r="B15" s="55"/>
      <x:c r="C15" s="55"/>
      <x:c r="D15" s="58"/>
      <x:c r="E15" s="55"/>
      <x:c r="F15" s="55"/>
      <x:c r="G15" s="55"/>
      <x:c r="H15" s="55"/>
      <x:c r="I15" s="55"/>
      <x:c r="J15" s="55"/>
      <x:c r="K15" s="55"/>
      <x:c r="L15" s="55"/>
      <x:c r="M15" s="55"/>
    </x:row>
  </x:sheetData>
  <x:mergeCells>
    <x:mergeCell ref="A1:M1"/>
    <x:mergeCell ref="A2:M2"/>
    <x:mergeCell ref="A3:M3"/>
  </x:mergeCells>
  <x:conditionalFormatting sqref="K5:K15">
    <x:cfRule type="containsText" dxfId="6" priority="1" operator="containsText" text="Approved"/>
    <x:cfRule type="containsText" dxfId="7" priority="2" operator="containsText" text="Rejected"/>
    <x:cfRule type="containsText" dxfId="8" priority="3" operator="containsText" text="Hold"/>
  </x:conditionalFormatting>
  <x:dataValidations count="5">
    <x:dataValidation type="list" sqref="C5:C15">
      <x:formula1>"Priya Nair,Mark Chen,Sofia Rossi,Daniel Brooks,Hanna Serednytska"</x:formula1>
    </x:dataValidation>
    <x:dataValidation type="list" sqref="E5:E15">
      <x:formula1>"High,Medium,Low"</x:formula1>
    </x:dataValidation>
    <x:dataValidation type="list" sqref="F5:F15">
      <x:formula1>"Not Started,In Progress,Blocked,Completed,Cancelled,Backlog"</x:formula1>
    </x:dataValidation>
    <x:dataValidation type="list" sqref="K5:K15">
      <x:formula1>"Approved,Rejected,Hold"</x:formula1>
    </x:dataValidation>
    <x:dataValidation type="list" sqref="M5:M1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26d59f610d4a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34" hidden="0" customWidth="1"/>
    <x:col min="4" max="4" width="21" hidden="0" customWidth="1"/>
    <x:col min="5" max="5" width="13" hidden="0" customWidth="1"/>
    <x:col min="6" max="6" width="11" hidden="0" customWidth="1"/>
    <x:col min="7" max="7" width="15" hidden="0" customWidth="1"/>
    <x:col min="8" max="8" width="25" hidden="0" customWidth="1"/>
    <x:col min="9" max="9" width="28" hidden="0" customWidth="1"/>
    <x:col min="10" max="10" width="14" hidden="0" customWidth="1"/>
    <x:col min="11" max="11" width="31" hidden="0" customWidth="1"/>
  </x:cols>
  <x:sheetData>
    <x:row r="1" ht="36" customHeight="1">
      <x:c r="A1" s="4" t="str">
        <x:v>Before Snapshot</x:v>
      </x:c>
    </x:row>
    <x:row r="2" ht="28" customHeight="1">
      <x:c r="A2" s="8" t="str">
        <x:v>Read-only comparison copy of the original register before any Lab 2 changes.</x:v>
      </x:c>
    </x:row>
    <x:row r="3">
      <x:c r="A3" s="59" t="str">
        <x:v>Do not edit this sheet. Use it to prove that unchanged fields remained identical.</x:v>
      </x:c>
    </x:row>
    <x:row r="4" ht="30" customHeight="1">
      <x:c r="A4" s="24" t="str">
        <x:v>Action ID</x:v>
      </x:c>
      <x:c r="B4" s="25" t="str">
        <x:v>Project</x:v>
      </x:c>
      <x:c r="C4" s="25" t="str">
        <x:v>Action</x:v>
      </x:c>
      <x:c r="D4" s="25" t="str">
        <x:v>Owner</x:v>
      </x:c>
      <x:c r="E4" s="25" t="str">
        <x:v>Due Date</x:v>
      </x:c>
      <x:c r="F4" s="25" t="str">
        <x:v>Priority</x:v>
      </x:c>
      <x:c r="G4" s="25" t="str">
        <x:v>Status</x:v>
      </x:c>
      <x:c r="H4" s="25" t="str">
        <x:v>Dependency</x:v>
      </x:c>
      <x:c r="I4" s="25" t="str">
        <x:v>Source Meeting</x:v>
      </x:c>
      <x:c r="J4" s="25" t="str">
        <x:v>Last Updated</x:v>
      </x:c>
      <x:c r="K4" s="26" t="str">
        <x:v>Notes</x:v>
      </x:c>
    </x:row>
    <x:row r="5">
      <x:c r="A5" s="34" t="str">
        <x:v>ACT-014</x:v>
      </x:c>
      <x:c r="B5" s="34" t="str">
        <x:v>Project Atlas</x:v>
      </x:c>
      <x:c r="C5" s="34" t="str">
        <x:v>Complete SSO timeout retest</x:v>
      </x:c>
      <x:c r="D5" s="34" t="str">
        <x:v>Priya Nair</x:v>
      </x:c>
      <x:c r="E5" s="44" t="n">
        <x:v>46275</x:v>
      </x:c>
      <x:c r="F5" s="34" t="str">
        <x:v>High</x:v>
      </x:c>
      <x:c r="G5" s="34" t="str">
        <x:v>In Progress</x:v>
      </x:c>
      <x:c r="H5" s="34" t="str">
        <x:v>Security test environment</x:v>
      </x:c>
      <x:c r="I5" s="34" t="str">
        <x:v>Security Readiness - 03 Sep 2026</x:v>
      </x:c>
      <x:c r="J5" s="44" t="n">
        <x:v>46268</x:v>
      </x:c>
      <x:c r="K5" s="34" t="str">
        <x:v>External access disabled until the test passes</x:v>
      </x:c>
    </x:row>
    <x:row r="6">
      <x:c r="A6" s="35" t="str">
        <x:v>ACT-015</x:v>
      </x:c>
      <x:c r="B6" s="35" t="str">
        <x:v>Project Atlas</x:v>
      </x:c>
      <x:c r="C6" s="35" t="str">
        <x:v>Confirm UAT environment delivery</x:v>
      </x:c>
      <x:c r="D6" s="35" t="str">
        <x:v>Mark Chen</x:v>
      </x:c>
      <x:c r="E6" s="45" t="n">
        <x:v>46273</x:v>
      </x:c>
      <x:c r="F6" s="35" t="str">
        <x:v>High</x:v>
      </x:c>
      <x:c r="G6" s="35" t="str">
        <x:v>In Progress</x:v>
      </x:c>
      <x:c r="H6" s="35" t="str">
        <x:v>Network configuration</x:v>
      </x:c>
      <x:c r="I6" s="35" t="str">
        <x:v>Technical Sync - 02 Sep 2026</x:v>
      </x:c>
      <x:c r="J6" s="45" t="n">
        <x:v>46267</x:v>
      </x:c>
      <x:c r="K6" s="35" t="str">
        <x:v>Environment expected Tuesday morning</x:v>
      </x:c>
    </x:row>
    <x:row r="7">
      <x:c r="A7" s="35" t="str">
        <x:v>ACT-016</x:v>
      </x:c>
      <x:c r="B7" s="35" t="str">
        <x:v>Project Atlas</x:v>
      </x:c>
      <x:c r="C7" s="35" t="str">
        <x:v>Validate migrated user accounts sample</x:v>
      </x:c>
      <x:c r="D7" s="35" t="str">
        <x:v>Mark Chen</x:v>
      </x:c>
      <x:c r="E7" s="45" t="n">
        <x:v>46276</x:v>
      </x:c>
      <x:c r="F7" s="35" t="str">
        <x:v>High</x:v>
      </x:c>
      <x:c r="G7" s="35" t="str">
        <x:v>Not Started</x:v>
      </x:c>
      <x:c r="H7" s="35" t="str">
        <x:v>Data extract version 3</x:v>
      </x:c>
      <x:c r="I7" s="35" t="str">
        <x:v>Migration Workshop - 01 Sep 2026</x:v>
      </x:c>
      <x:c r="J7" s="45" t="n">
        <x:v>46266</x:v>
      </x:c>
      <x:c r="K7" s="35" t="str">
        <x:v>Validate a sample of 50 user accounts</x:v>
      </x:c>
    </x:row>
    <x:row r="8">
      <x:c r="A8" s="35" t="str">
        <x:v>ACT-017</x:v>
      </x:c>
      <x:c r="B8" s="35" t="str">
        <x:v>Project Atlas</x:v>
      </x:c>
      <x:c r="C8" s="35" t="str">
        <x:v>Draft UAT participant communication</x:v>
      </x:c>
      <x:c r="D8" s="35" t="str">
        <x:v>Sofia Rossi</x:v>
      </x:c>
      <x:c r="E8" s="45" t="n">
        <x:v>46277</x:v>
      </x:c>
      <x:c r="F8" s="35" t="str">
        <x:v>Medium</x:v>
      </x:c>
      <x:c r="G8" s="35" t="str">
        <x:v>In Progress</x:v>
      </x:c>
      <x:c r="H8" s="35" t="str">
        <x:v>Confirmed UAT start</x:v>
      </x:c>
      <x:c r="I8" s="35" t="str">
        <x:v>Change Readiness - 03 Sep 2026</x:v>
      </x:c>
      <x:c r="J8" s="45" t="n">
        <x:v>46268</x:v>
      </x:c>
      <x:c r="K8" s="35" t="str">
        <x:v>Draft includes participation instructions</x:v>
      </x:c>
    </x:row>
    <x:row r="9">
      <x:c r="A9" s="35" t="str">
        <x:v>ACT-018</x:v>
      </x:c>
      <x:c r="B9" s="35" t="str">
        <x:v>Project Atlas</x:v>
      </x:c>
      <x:c r="C9" s="35" t="str">
        <x:v>Publish UAT access guide</x:v>
      </x:c>
      <x:c r="D9" s="35" t="str">
        <x:v>Daniel Brooks</x:v>
      </x:c>
      <x:c r="E9" s="45" t="n">
        <x:v>46274</x:v>
      </x:c>
      <x:c r="F9" s="35" t="str">
        <x:v>Medium</x:v>
      </x:c>
      <x:c r="G9" s="35" t="str">
        <x:v>Not Started</x:v>
      </x:c>
      <x:c r="H9" s="35" t="str">
        <x:v>Environment access</x:v>
      </x:c>
      <x:c r="I9" s="35" t="str">
        <x:v>Service Desk Planning - 29 Aug 2026</x:v>
      </x:c>
      <x:c r="J9" s="45" t="n">
        <x:v>46263</x:v>
      </x:c>
      <x:c r="K9" s="35" t="str">
        <x:v>Include password-reset guidance</x:v>
      </x:c>
    </x:row>
    <x:row r="10">
      <x:c r="A10" s="35" t="str">
        <x:v>ACT-019</x:v>
      </x:c>
      <x:c r="B10" s="35" t="str">
        <x:v>Project Atlas</x:v>
      </x:c>
      <x:c r="C10" s="35" t="str">
        <x:v>Confirm Service Desk escalation rota</x:v>
      </x:c>
      <x:c r="D10" s="35" t="str">
        <x:v>Daniel Brooks</x:v>
      </x:c>
      <x:c r="E10" s="45" t="n">
        <x:v>46278</x:v>
      </x:c>
      <x:c r="F10" s="35" t="str">
        <x:v>Medium</x:v>
      </x:c>
      <x:c r="G10" s="35" t="str">
        <x:v>In Progress</x:v>
      </x:c>
      <x:c r="H10" s="35" t="str">
        <x:v>Support manager availability</x:v>
      </x:c>
      <x:c r="I10" s="35" t="str">
        <x:v>Service Readiness - 04 Sep 2026</x:v>
      </x:c>
      <x:c r="J10" s="45" t="n">
        <x:v>46269</x:v>
      </x:c>
      <x:c r="K10" s="35" t="str">
        <x:v>Weekend rota pending</x:v>
      </x:c>
    </x:row>
    <x:row r="11">
      <x:c r="A11" s="35" t="str">
        <x:v>ACT-020</x:v>
      </x:c>
      <x:c r="B11" s="35" t="str">
        <x:v>Project Atlas</x:v>
      </x:c>
      <x:c r="C11" s="35" t="str">
        <x:v>Review portal homepage wording</x:v>
      </x:c>
      <x:c r="D11" s="35" t="str">
        <x:v>Sofia Rossi</x:v>
      </x:c>
      <x:c r="E11" s="45" t="n">
        <x:v>46285</x:v>
      </x:c>
      <x:c r="F11" s="35" t="str">
        <x:v>Low</x:v>
      </x:c>
      <x:c r="G11" s="35" t="str">
        <x:v>Backlog</x:v>
      </x:c>
      <x:c r="H11" s="35" t="str">
        <x:v>Brand review</x:v>
      </x:c>
      <x:c r="I11" s="35" t="str">
        <x:v>Design Review - 28 Aug 2026</x:v>
      </x:c>
      <x:c r="J11" s="45" t="n">
        <x:v>46262</x:v>
      </x:c>
      <x:c r="K11" s="35" t="str">
        <x:v>Post-UAT improvement</x:v>
      </x:c>
    </x:row>
    <x:row r="12">
      <x:c r="A12" s="36" t="str">
        <x:v>ACT-021</x:v>
      </x:c>
      <x:c r="B12" s="36" t="str">
        <x:v>Project Atlas</x:v>
      </x:c>
      <x:c r="C12" s="36" t="str">
        <x:v>Obtain UAT go/no-go approval</x:v>
      </x:c>
      <x:c r="D12" s="36" t="str">
        <x:v>Hanna Serednytska</x:v>
      </x:c>
      <x:c r="E12" s="46" t="n">
        <x:v>46279</x:v>
      </x:c>
      <x:c r="F12" s="36" t="str">
        <x:v>High</x:v>
      </x:c>
      <x:c r="G12" s="36" t="str">
        <x:v>Not Started</x:v>
      </x:c>
      <x:c r="H12" s="36" t="str">
        <x:v>Security and environment evidence</x:v>
      </x:c>
      <x:c r="I12" s="36" t="str">
        <x:v>Steering Committee - 04 Sep 2026</x:v>
      </x:c>
      <x:c r="J12" s="46" t="n">
        <x:v>46269</x:v>
      </x:c>
      <x:c r="K12" s="36" t="str">
        <x:v>Approval required before launch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31661aa9655c4d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24" hidden="0" customWidth="1"/>
    <x:col min="5" max="5" width="24" hidden="0" customWidth="1"/>
    <x:col min="6" max="6" width="20" hidden="0" customWidth="1"/>
    <x:col min="7" max="7" width="21" hidden="0" customWidth="1"/>
    <x:col min="8" max="8" width="15" hidden="0" customWidth="1"/>
  </x:cols>
  <x:sheetData>
    <x:row r="1" ht="36" customHeight="1">
      <x:c r="A1" s="4" t="str">
        <x:v>Before-After Audit</x:v>
      </x:c>
    </x:row>
    <x:row r="2" ht="28" customHeight="1">
      <x:c r="A2" s="8" t="str">
        <x:v>Record every changed cell and map it to an approved Change ID or approved new-action candidate.</x:v>
      </x:c>
    </x:row>
    <x:row r="3">
      <x:c r="A3" s="61" t="str">
        <x:v>The final audit fails if a changed cell has no approved queue entry or if an approved change was not applied.</x:v>
      </x:c>
    </x:row>
    <x:row r="4" ht="30" customHeight="1">
      <x:c r="A4" s="24" t="str">
        <x:v>Changed Cell</x:v>
      </x:c>
      <x:c r="B4" s="25" t="str">
        <x:v>Action ID</x:v>
      </x:c>
      <x:c r="C4" s="25" t="str">
        <x:v>Field</x:v>
      </x:c>
      <x:c r="D4" s="25" t="str">
        <x:v>Before Value</x:v>
      </x:c>
      <x:c r="E4" s="25" t="str">
        <x:v>After Value</x:v>
      </x:c>
      <x:c r="F4" s="25" t="str">
        <x:v>Approved Change ID</x:v>
      </x:c>
      <x:c r="G4" s="25" t="str">
        <x:v>Matching Review Entry?</x:v>
      </x:c>
      <x:c r="H4" s="26" t="str">
        <x:v>Audit Result</x:v>
      </x:c>
    </x:row>
    <x:row r="5">
      <x:c r="A5" s="39"/>
      <x:c r="B5" s="39"/>
      <x:c r="C5" s="39"/>
      <x:c r="D5" s="39"/>
      <x:c r="E5" s="39"/>
      <x:c r="F5" s="39"/>
      <x:c r="G5" s="39"/>
      <x:c r="H5" s="39"/>
    </x:row>
    <x:row r="6">
      <x:c r="A6" s="54"/>
      <x:c r="B6" s="54"/>
      <x:c r="C6" s="54"/>
      <x:c r="D6" s="54"/>
      <x:c r="E6" s="54"/>
      <x:c r="F6" s="54"/>
      <x:c r="G6" s="54"/>
      <x:c r="H6" s="54"/>
    </x:row>
    <x:row r="7">
      <x:c r="A7" s="54"/>
      <x:c r="B7" s="54"/>
      <x:c r="C7" s="54"/>
      <x:c r="D7" s="54"/>
      <x:c r="E7" s="54"/>
      <x:c r="F7" s="54"/>
      <x:c r="G7" s="54"/>
      <x:c r="H7" s="54"/>
    </x:row>
    <x:row r="8">
      <x:c r="A8" s="54"/>
      <x:c r="B8" s="54"/>
      <x:c r="C8" s="54"/>
      <x:c r="D8" s="54"/>
      <x:c r="E8" s="54"/>
      <x:c r="F8" s="54"/>
      <x:c r="G8" s="54"/>
      <x:c r="H8" s="54"/>
    </x:row>
    <x:row r="9">
      <x:c r="A9" s="54"/>
      <x:c r="B9" s="54"/>
      <x:c r="C9" s="54"/>
      <x:c r="D9" s="54"/>
      <x:c r="E9" s="54"/>
      <x:c r="F9" s="54"/>
      <x:c r="G9" s="54"/>
      <x:c r="H9" s="54"/>
    </x:row>
    <x:row r="10">
      <x:c r="A10" s="54"/>
      <x:c r="B10" s="54"/>
      <x:c r="C10" s="54"/>
      <x:c r="D10" s="54"/>
      <x:c r="E10" s="54"/>
      <x:c r="F10" s="54"/>
      <x:c r="G10" s="54"/>
      <x:c r="H10" s="54"/>
    </x:row>
    <x:row r="11">
      <x:c r="A11" s="54"/>
      <x:c r="B11" s="54"/>
      <x:c r="C11" s="54"/>
      <x:c r="D11" s="54"/>
      <x:c r="E11" s="54"/>
      <x:c r="F11" s="54"/>
      <x:c r="G11" s="54"/>
      <x:c r="H11" s="54"/>
    </x:row>
    <x:row r="12">
      <x:c r="A12" s="54"/>
      <x:c r="B12" s="54"/>
      <x:c r="C12" s="54"/>
      <x:c r="D12" s="54"/>
      <x:c r="E12" s="54"/>
      <x:c r="F12" s="54"/>
      <x:c r="G12" s="54"/>
      <x:c r="H12" s="54"/>
    </x:row>
    <x:row r="13">
      <x:c r="A13" s="54"/>
      <x:c r="B13" s="54"/>
      <x:c r="C13" s="54"/>
      <x:c r="D13" s="54"/>
      <x:c r="E13" s="54"/>
      <x:c r="F13" s="54"/>
      <x:c r="G13" s="54"/>
      <x:c r="H13" s="54"/>
    </x:row>
    <x:row r="14">
      <x:c r="A14" s="54"/>
      <x:c r="B14" s="54"/>
      <x:c r="C14" s="54"/>
      <x:c r="D14" s="54"/>
      <x:c r="E14" s="54"/>
      <x:c r="F14" s="54"/>
      <x:c r="G14" s="54"/>
      <x:c r="H14" s="54"/>
    </x:row>
    <x:row r="15">
      <x:c r="A15" s="54"/>
      <x:c r="B15" s="54"/>
      <x:c r="C15" s="54"/>
      <x:c r="D15" s="54"/>
      <x:c r="E15" s="54"/>
      <x:c r="F15" s="54"/>
      <x:c r="G15" s="54"/>
      <x:c r="H15" s="54"/>
    </x:row>
    <x:row r="16">
      <x:c r="A16" s="54"/>
      <x:c r="B16" s="54"/>
      <x:c r="C16" s="54"/>
      <x:c r="D16" s="54"/>
      <x:c r="E16" s="54"/>
      <x:c r="F16" s="54"/>
      <x:c r="G16" s="54"/>
      <x:c r="H16" s="54"/>
    </x:row>
    <x:row r="17">
      <x:c r="A17" s="54"/>
      <x:c r="B17" s="54"/>
      <x:c r="C17" s="54"/>
      <x:c r="D17" s="54"/>
      <x:c r="E17" s="54"/>
      <x:c r="F17" s="54"/>
      <x:c r="G17" s="54"/>
      <x:c r="H17" s="54"/>
    </x:row>
    <x:row r="18">
      <x:c r="A18" s="54"/>
      <x:c r="B18" s="54"/>
      <x:c r="C18" s="54"/>
      <x:c r="D18" s="54"/>
      <x:c r="E18" s="54"/>
      <x:c r="F18" s="54"/>
      <x:c r="G18" s="54"/>
      <x:c r="H18" s="54"/>
    </x:row>
    <x:row r="19">
      <x:c r="A19" s="54"/>
      <x:c r="B19" s="54"/>
      <x:c r="C19" s="54"/>
      <x:c r="D19" s="54"/>
      <x:c r="E19" s="54"/>
      <x:c r="F19" s="54"/>
      <x:c r="G19" s="54"/>
      <x:c r="H19" s="54"/>
    </x:row>
    <x:row r="20">
      <x:c r="A20" s="54"/>
      <x:c r="B20" s="54"/>
      <x:c r="C20" s="54"/>
      <x:c r="D20" s="54"/>
      <x:c r="E20" s="54"/>
      <x:c r="F20" s="54"/>
      <x:c r="G20" s="54"/>
      <x:c r="H20" s="54"/>
    </x:row>
    <x:row r="21">
      <x:c r="A21" s="54"/>
      <x:c r="B21" s="54"/>
      <x:c r="C21" s="54"/>
      <x:c r="D21" s="54"/>
      <x:c r="E21" s="54"/>
      <x:c r="F21" s="54"/>
      <x:c r="G21" s="54"/>
      <x:c r="H21" s="54"/>
    </x:row>
    <x:row r="22">
      <x:c r="A22" s="54"/>
      <x:c r="B22" s="54"/>
      <x:c r="C22" s="54"/>
      <x:c r="D22" s="54"/>
      <x:c r="E22" s="54"/>
      <x:c r="F22" s="54"/>
      <x:c r="G22" s="54"/>
      <x:c r="H22" s="54"/>
    </x:row>
    <x:row r="23">
      <x:c r="A23" s="54"/>
      <x:c r="B23" s="54"/>
      <x:c r="C23" s="54"/>
      <x:c r="D23" s="54"/>
      <x:c r="E23" s="54"/>
      <x:c r="F23" s="54"/>
      <x:c r="G23" s="54"/>
      <x:c r="H23" s="54"/>
    </x:row>
    <x:row r="24">
      <x:c r="A24" s="54"/>
      <x:c r="B24" s="54"/>
      <x:c r="C24" s="54"/>
      <x:c r="D24" s="54"/>
      <x:c r="E24" s="54"/>
      <x:c r="F24" s="54"/>
      <x:c r="G24" s="54"/>
      <x:c r="H24" s="54"/>
    </x:row>
    <x:row r="25">
      <x:c r="A25" s="54"/>
      <x:c r="B25" s="54"/>
      <x:c r="C25" s="54"/>
      <x:c r="D25" s="54"/>
      <x:c r="E25" s="54"/>
      <x:c r="F25" s="54"/>
      <x:c r="G25" s="54"/>
      <x:c r="H25" s="54"/>
    </x:row>
    <x:row r="26">
      <x:c r="A26" s="54"/>
      <x:c r="B26" s="54"/>
      <x:c r="C26" s="54"/>
      <x:c r="D26" s="54"/>
      <x:c r="E26" s="54"/>
      <x:c r="F26" s="54"/>
      <x:c r="G26" s="54"/>
      <x:c r="H26" s="54"/>
    </x:row>
    <x:row r="27">
      <x:c r="A27" s="54"/>
      <x:c r="B27" s="54"/>
      <x:c r="C27" s="54"/>
      <x:c r="D27" s="54"/>
      <x:c r="E27" s="54"/>
      <x:c r="F27" s="54"/>
      <x:c r="G27" s="54"/>
      <x:c r="H27" s="54"/>
    </x:row>
    <x:row r="28">
      <x:c r="A28" s="54"/>
      <x:c r="B28" s="54"/>
      <x:c r="C28" s="54"/>
      <x:c r="D28" s="54"/>
      <x:c r="E28" s="54"/>
      <x:c r="F28" s="54"/>
      <x:c r="G28" s="54"/>
      <x:c r="H28" s="54"/>
    </x:row>
    <x:row r="29">
      <x:c r="A29" s="54"/>
      <x:c r="B29" s="54"/>
      <x:c r="C29" s="54"/>
      <x:c r="D29" s="54"/>
      <x:c r="E29" s="54"/>
      <x:c r="F29" s="54"/>
      <x:c r="G29" s="54"/>
      <x:c r="H29" s="54"/>
    </x:row>
    <x:row r="30">
      <x:c r="A30" s="55"/>
      <x:c r="B30" s="55"/>
      <x:c r="C30" s="55"/>
      <x:c r="D30" s="55"/>
      <x:c r="E30" s="55"/>
      <x:c r="F30" s="55"/>
      <x:c r="G30" s="55"/>
      <x:c r="H30" s="55"/>
    </x:row>
  </x:sheetData>
  <x:mergeCells>
    <x:mergeCell ref="A1:H1"/>
    <x:mergeCell ref="A2:H2"/>
    <x:mergeCell ref="A3:H3"/>
  </x:mergeCells>
  <x:conditionalFormatting sqref="H5:H30">
    <x:cfRule type="containsText" dxfId="9" priority="1" operator="containsText" text="PASS"/>
    <x:cfRule type="containsText" dxfId="10" priority="2" operator="containsText" text="CHECK"/>
  </x:conditionalFormatting>
  <x:dataValidations count="2">
    <x:dataValidation type="list" sqref="G5:G30">
      <x:formula1>"Yes,No"</x:formula1>
    </x:dataValidation>
    <x:dataValidation type="list" sqref="H5:H30">
      <x:formula1>"PASS,CHECK"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36f627b9aa4c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4" hidden="0" customWidth="1"/>
    <x:col min="4" max="4" width="36" hidden="0" customWidth="1"/>
    <x:col min="5" max="5" width="16" hidden="0" customWidth="1"/>
    <x:col min="6" max="6" width="23" hidden="0" customWidth="1"/>
  </x:cols>
  <x:sheetData>
    <x:row r="1" ht="36" customHeight="1">
      <x:c r="A1" s="4" t="str">
        <x:v>Validation</x:v>
      </x:c>
    </x:row>
    <x:row r="2" ht="28" customHeight="1">
      <x:c r="A2" s="8" t="str">
        <x:v>Formula-driven checks for the completed action register and review queues.</x:v>
      </x:c>
    </x:row>
    <x:row r="4" ht="30" customHeight="1">
      <x:c r="A4" s="24" t="str">
        <x:v>Check</x:v>
      </x:c>
      <x:c r="B4" s="26" t="str">
        <x:v>Result</x:v>
      </x:c>
      <x:c r="D4" s="17" t="str">
        <x:v>Final human checks</x:v>
      </x:c>
    </x:row>
    <x:row r="5" ht="30" customHeight="1">
      <x:c r="A5" s="34" t="str">
        <x:v>Current action count</x:v>
      </x:c>
      <x:c r="B5" s="62" t="n">
        <x:f>COUNTA('Action Register'!$A$5:$A$40)</x:f>
        <x:v>8</x:v>
      </x:c>
      <x:c r="D5" s="24" t="str">
        <x:v>Check</x:v>
      </x:c>
      <x:c r="E5" s="25" t="str">
        <x:v>Expected</x:v>
      </x:c>
      <x:c r="F5" s="26" t="str">
        <x:v>Participant confirmation</x:v>
      </x:c>
    </x:row>
    <x:row r="6">
      <x:c r="A6" s="35" t="str">
        <x:v>Original action count</x:v>
      </x:c>
      <x:c r="B6" s="63" t="n">
        <x:f>COUNTA('Before Snapshot'!$A$5:$A$40)</x:f>
        <x:v>8</x:v>
      </x:c>
      <x:c r="D6" s="34" t="str">
        <x:v>Every changed cell has an approved ID</x:v>
      </x:c>
      <x:c r="E6" s="34" t="str">
        <x:v>Yes</x:v>
      </x:c>
      <x:c r="F6" s="39"/>
    </x:row>
    <x:row r="7">
      <x:c r="A7" s="35" t="str">
        <x:v>Approved field changes</x:v>
      </x:c>
      <x:c r="B7" s="63" t="n">
        <x:f>COUNTIF('Field Change Queue'!$I$5:$I$24,"Approved")</x:f>
        <x:v>0</x:v>
      </x:c>
      <x:c r="D7" s="35" t="str">
        <x:v>Every approved field change was applied</x:v>
      </x:c>
      <x:c r="E7" s="35" t="str">
        <x:v>Yes</x:v>
      </x:c>
      <x:c r="F7" s="54"/>
    </x:row>
    <x:row r="8">
      <x:c r="A8" s="35" t="str">
        <x:v>Approved new actions</x:v>
      </x:c>
      <x:c r="B8" s="63" t="n">
        <x:f>COUNTIF('New Action Queue'!$K$5:$K$15,"Approved")</x:f>
        <x:v>0</x:v>
      </x:c>
      <x:c r="D8" s="35" t="str">
        <x:v>Unchanged fields stayed identical</x:v>
      </x:c>
      <x:c r="E8" s="35" t="str">
        <x:v>Yes</x:v>
      </x:c>
      <x:c r="F8" s="54"/>
    </x:row>
    <x:row r="9">
      <x:c r="A9" s="35" t="str">
        <x:v>Expected action count</x:v>
      </x:c>
      <x:c r="B9" s="63" t="n">
        <x:f>'Validation'!B6+'Validation'!B8</x:f>
        <x:v>8</x:v>
      </x:c>
      <x:c r="D9" s="35" t="str">
        <x:v>Held values stayed unchanged</x:v>
      </x:c>
      <x:c r="E9" s="35" t="str">
        <x:v>Yes</x:v>
      </x:c>
      <x:c r="F9" s="54"/>
    </x:row>
    <x:row r="10">
      <x:c r="A10" s="35" t="str">
        <x:v>Duplicate ID warnings</x:v>
      </x:c>
      <x:c r="B10" s="63" t="n">
        <x:f>COUNTIF('Action Register'!$L$5:$L$40,"DUPLICATE")</x:f>
        <x:v>0</x:v>
      </x:c>
      <x:c r="D10" s="36" t="str">
        <x:v>No suggestion became an action</x:v>
      </x:c>
      <x:c r="E10" s="36" t="str">
        <x:v>Yes</x:v>
      </x:c>
      <x:c r="F10" s="55"/>
    </x:row>
    <x:row r="11">
      <x:c r="A11" s="35" t="str">
        <x:v>Missing required-field warnings</x:v>
      </x:c>
      <x:c r="B11" s="63" t="n">
        <x:f>COUNTIF('Action Register'!$M$5:$M$40,"MISSING")</x:f>
        <x:v>0</x:v>
      </x:c>
    </x:row>
    <x:row r="12">
      <x:c r="A12" s="36" t="str">
        <x:v>Action-count reconciliation</x:v>
      </x:c>
      <x:c r="B12" s="36" t="str">
        <x:f>IF(B5=B9,"PASS","CHECK")</x:f>
        <x:v>PASS</x:v>
      </x:c>
    </x:row>
    <x:row r="14" ht="42" customHeight="1">
      <x:c r="A14" s="65" t="str">
        <x:v>Expected workshop result after the correct changes: 10 actions, 5 approved field changes, 2 approved new actions, 0 duplicate IDs and 0 missing required fields.</x:v>
      </x:c>
    </x:row>
  </x:sheetData>
  <x:mergeCells>
    <x:mergeCell ref="A1:F1"/>
    <x:mergeCell ref="A2:F2"/>
    <x:mergeCell ref="D4:F4"/>
    <x:mergeCell ref="A14:F14"/>
  </x:mergeCells>
  <x:conditionalFormatting sqref="B12:B12">
    <x:cfRule type="containsText" dxfId="11" priority="1" operator="containsText" text="PASS"/>
    <x:cfRule type="containsText" dxfId="12" priority="2" operator="containsText" text="CHECK"/>
  </x:conditionalFormatting>
  <x:conditionalFormatting sqref="F6:F10">
    <x:cfRule type="containsText" dxfId="13" priority="3" operator="containsText" text="Confirmed"/>
    <x:cfRule type="containsText" dxfId="14" priority="4" operator="containsText" text="Needs review"/>
  </x:conditionalFormatting>
  <x:dataValidations count="1">
    <x:dataValidation type="list" sqref="F6:F10">
      <x:formula1>"Confirmed,Needs review"</x:formula1>
    </x:dataValidation>
  </x:dataValidations>
  <x:pageMargins left="0.7" right="0.7" top="0.75" bottom="0.75" header="0.3" footer="0.3"/>
</x:worksheet>
</file>