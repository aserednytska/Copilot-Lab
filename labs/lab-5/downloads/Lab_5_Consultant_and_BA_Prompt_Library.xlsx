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231358a2894be2" /></Relationships>
</file>

<file path=xl/workbook.xml><?xml version="1.0" encoding="utf-8"?>
<x:workbook xmlns:x="http://schemas.openxmlformats.org/spreadsheetml/2006/main">
  <x:sheets>
    <x:sheet xmlns:r="http://schemas.openxmlformats.org/officeDocument/2006/relationships" name="Prompt Catalogue" sheetId="1" r:id="Re197ceb910d447ac"/>
    <x:sheet xmlns:r="http://schemas.openxmlformats.org/officeDocument/2006/relationships" name="Prompt Text" sheetId="2" r:id="Rdb6c8253ace34c13"/>
    <x:sheet xmlns:r="http://schemas.openxmlformats.org/officeDocument/2006/relationships" name="Test Log" sheetId="3" r:id="R4ba167a1d6c24dd8"/>
    <x:sheet xmlns:r="http://schemas.openxmlformats.org/officeDocument/2006/relationships" name="Change Requests" sheetId="4" r:id="R0ef016a71a354939"/>
    <x:sheet xmlns:r="http://schemas.openxmlformats.org/officeDocument/2006/relationships" name="Version History" sheetId="5" r:id="Rdc1d3152b6b44102"/>
    <x:sheet xmlns:r="http://schemas.openxmlformats.org/officeDocument/2006/relationships" name="Retired Prompts" sheetId="6" r:id="R7a644dcf224d42e0"/>
    <x:sheet xmlns:r="http://schemas.openxmlformats.org/officeDocument/2006/relationships" name="Dashboard" sheetId="7" r:id="Rf854d89a1f674252"/>
    <x:sheet xmlns:r="http://schemas.openxmlformats.org/officeDocument/2006/relationships" name="Lists" sheetId="8" r:id="R405c070ca73a478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yyyy-mm-dd"/>
  </x:numFmts>
  <x:fonts count="12">
    <x:font>
      <x:sz val="11"/>
      <x:name val="Carlito"/>
    </x:font>
    <x:font>
      <x:b/>
      <x:sz val="20"/>
      <x:color rgb="FFFFFFFF"/>
      <x:name val="Carlito"/>
    </x:font>
    <x:font>
      <x:i/>
      <x:sz val="11"/>
      <x:color rgb="FF486581"/>
      <x:name val="Carlito"/>
    </x:font>
    <x:font>
      <x:b/>
      <x:sz val="11"/>
      <x:color rgb="FFFFFFFF"/>
      <x:name val="Carlito"/>
    </x:font>
    <x:font>
      <x:sz val="11"/>
      <x:color rgb="FF1F2933"/>
      <x:name val="Carlito"/>
    </x:font>
    <x:font>
      <x:b/>
      <x:sz val="11"/>
      <x:color rgb="FFC47F00"/>
      <x:name val="Carlito"/>
    </x:font>
    <x:font>
      <x:b/>
      <x:sz val="20"/>
      <x:color rgb="FFFFFFFF"/>
      <x:name val="Aptos"/>
    </x:font>
    <x:font>
      <x:sz val="11"/>
      <x:name val="Aptos"/>
    </x:font>
    <x:font>
      <x:i/>
      <x:sz val="11"/>
      <x:color rgb="FF486581"/>
      <x:name val="Aptos"/>
    </x:font>
    <x:font>
      <x:b/>
      <x:sz val="11"/>
      <x:color rgb="FFFFFFFF"/>
      <x:name val="Aptos"/>
    </x:font>
    <x:font>
      <x:sz val="11"/>
      <x:color rgb="FF1F2933"/>
      <x:name val="Aptos"/>
    </x:font>
    <x:font>
      <x:b/>
      <x:sz val="11"/>
      <x:color rgb="FFC47F00"/>
      <x:name val="Aptos"/>
    </x:font>
  </x:fonts>
  <x:fills count="7">
    <x:fill>
      <x:patternFill patternType="none"/>
    </x:fill>
    <x:fill>
      <x:patternFill patternType="gray125"/>
    </x:fill>
    <x:fill>
      <x:patternFill patternType="solid">
        <x:fgColor rgb="FF102A43"/>
      </x:patternFill>
    </x:fill>
    <x:fill>
      <x:patternFill patternType="solid">
        <x:fgColor rgb="FFEAF2FF"/>
      </x:patternFill>
    </x:fill>
    <x:fill>
      <x:patternFill patternType="solid">
        <x:fgColor rgb="FF2563EB"/>
      </x:patternFill>
    </x:fill>
    <x:fill>
      <x:patternFill patternType="solid">
        <x:fgColor rgb="FFFFFDF2"/>
      </x:patternFill>
    </x:fill>
    <x:fill>
      <x:patternFill patternType="solid">
        <x:fgColor rgb="FFFFF5D6"/>
      </x:patternFill>
    </x:fill>
  </x:fills>
  <x:borders count="2">
    <x:border/>
    <x:border>
      <x:left style="thin">
        <x:color rgb="FFD8E1EA"/>
      </x:left>
      <x:right style="thin">
        <x:color rgb="FFD8E1EA"/>
      </x:right>
      <x:top style="thin">
        <x:color rgb="FFD8E1EA"/>
      </x:top>
      <x:bottom style="thin">
        <x:color rgb="FFD8E1EA"/>
      </x:bottom>
    </x:border>
  </x:borders>
  <x:cellStyleXfs count="1">
    <x:xf numFmtId="0" fontId="0" fillId="0" borderId="0"/>
  </x:cellStyleXfs>
  <x:cellXfs count="3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5" borderId="0" xfId="0" applyNumberFormat="1" applyFont="1" applyFill="1" applyBorder="1"/>
    <x:xf numFmtId="200" fontId="4" fillId="0" borderId="1" xfId="0" applyNumberFormat="1" applyFont="1" applyFill="1" applyBorder="1" applyAlignment="1">
      <x:alignment vertical="top" wrapText="1"/>
    </x:xf>
    <x:xf numFmtId="200" fontId="0" fillId="0" borderId="0" xfId="0" applyNumberFormat="1" applyFont="1" applyFill="1" applyBorder="1"/>
    <x:xf numFmtId="201" fontId="4" fillId="0" borderId="1" xfId="0" applyNumberFormat="1" applyFont="1" applyFill="1" applyBorder="1" applyAlignment="1">
      <x:alignment vertical="top" wrapText="1"/>
    </x:xf>
    <x:xf numFmtId="201" fontId="0" fillId="0"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vertical="center"/>
    </x:xf>
    <x:xf numFmtId="0" fontId="7" fillId="0" borderId="0" xfId="0" applyNumberFormat="1" applyFont="1" applyFill="1" applyBorder="1"/>
    <x:xf numFmtId="0" fontId="8" fillId="3" borderId="0" xfId="0" applyNumberFormat="1" applyFont="1" applyFill="1" applyBorder="1" applyAlignment="1">
      <x:alignment wrapText="1"/>
    </x:xf>
    <x:xf numFmtId="0" fontId="9" fillId="4" borderId="1" xfId="0" applyNumberFormat="1" applyFont="1" applyFill="1" applyBorder="1" applyAlignment="1">
      <x:alignment vertical="center" wrapText="1"/>
    </x:xf>
    <x:xf numFmtId="0" fontId="10" fillId="0" borderId="1" xfId="0" applyNumberFormat="1" applyFont="1" applyFill="1" applyBorder="1" applyAlignment="1">
      <x:alignment vertical="top" wrapText="1"/>
    </x:xf>
    <x:xf numFmtId="0" fontId="10" fillId="5" borderId="1" xfId="0" applyNumberFormat="1" applyFont="1" applyFill="1" applyBorder="1" applyAlignment="1">
      <x:alignment vertical="top" wrapText="1"/>
    </x:xf>
    <x:xf numFmtId="200" fontId="10" fillId="0" borderId="1" xfId="0" applyNumberFormat="1" applyFont="1" applyFill="1" applyBorder="1" applyAlignment="1">
      <x:alignment vertical="top" wrapText="1"/>
    </x:xf>
    <x:xf numFmtId="0" fontId="7" fillId="5" borderId="0" xfId="0" applyNumberFormat="1" applyFont="1" applyFill="1" applyBorder="1"/>
    <x:xf numFmtId="200" fontId="7" fillId="0" borderId="0" xfId="0" applyNumberFormat="1" applyFont="1" applyFill="1" applyBorder="1"/>
    <x:xf numFmtId="201" fontId="10" fillId="0" borderId="1" xfId="0" applyNumberFormat="1" applyFont="1" applyFill="1" applyBorder="1" applyAlignment="1">
      <x:alignment vertical="top" wrapText="1"/>
    </x:xf>
    <x:xf numFmtId="201" fontId="7" fillId="0" borderId="0" xfId="0" applyNumberFormat="1" applyFont="1" applyFill="1" applyBorder="1"/>
    <x:xf numFmtId="0" fontId="9" fillId="4" borderId="0" xfId="0" applyNumberFormat="1" applyFont="1" applyFill="1" applyBorder="1"/>
    <x:xf numFmtId="0" fontId="11" fillId="6" borderId="0" xfId="0" applyNumberFormat="1" applyFont="1" applyFill="1" applyBorder="1" applyAlignment="1">
      <x:alignment vertical="center" wrapText="1"/>
    </x:xf>
  </x:cellXfs>
  <x:cellStyles count="1">
    <x:cellStyle name="Normal" xfId="0"/>
  </x:cellStyles>
  <x:dxfs count="4">
    <x:dxf>
      <x:font>
        <x:b/>
        <x:color rgb="FF12715B"/>
      </x:font>
      <x:fill>
        <x:patternFill patternType="solid">
          <x:bgColor rgb="FFE7F6EF"/>
        </x:patternFill>
      </x:fill>
    </x:dxf>
    <x:dxf>
      <x:font>
        <x:b/>
        <x:color rgb="FFA33A3A"/>
      </x:font>
      <x:fill>
        <x:patternFill patternType="solid">
          <x:bgColor rgb="FFFDECEC"/>
        </x:patternFill>
      </x:fill>
    </x:dxf>
    <x:dxf>
      <x:font>
        <x:b/>
        <x:color rgb="FF12715B"/>
      </x:font>
      <x:fill>
        <x:patternFill patternType="solid">
          <x:bgColor rgb="FFE7F6EF"/>
        </x:patternFill>
      </x:fill>
    </x:dxf>
    <x:dxf>
      <x:font>
        <x:b/>
        <x:color rgb="FFA33A3A"/>
      </x:font>
      <x:fill>
        <x:patternFill patternType="solid">
          <x:bgColor rgb="FFFDEC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f985d67b6af43e3" /><Relationship Type="http://schemas.openxmlformats.org/officeDocument/2006/relationships/theme" Target="/xl/theme/theme1.xml" Id="Rd703ddc2dbc84384" /><Relationship Type="http://schemas.openxmlformats.org/officeDocument/2006/relationships/sharedStrings" Target="/xl/sharedStrings.xml" Id="Rb8e2ed4114b448c2" /><Relationship Type="http://schemas.openxmlformats.org/officeDocument/2006/relationships/worksheet" Target="/xl/worksheets/sheet1.xml" Id="Re197ceb910d447ac" /><Relationship Type="http://schemas.openxmlformats.org/officeDocument/2006/relationships/worksheet" Target="/xl/worksheets/sheet2.xml" Id="Rdb6c8253ace34c13" /><Relationship Type="http://schemas.openxmlformats.org/officeDocument/2006/relationships/worksheet" Target="/xl/worksheets/sheet3.xml" Id="R4ba167a1d6c24dd8" /><Relationship Type="http://schemas.openxmlformats.org/officeDocument/2006/relationships/worksheet" Target="/xl/worksheets/sheet4.xml" Id="R0ef016a71a354939" /><Relationship Type="http://schemas.openxmlformats.org/officeDocument/2006/relationships/worksheet" Target="/xl/worksheets/sheet5.xml" Id="Rdc1d3152b6b44102" /><Relationship Type="http://schemas.openxmlformats.org/officeDocument/2006/relationships/worksheet" Target="/xl/worksheets/sheet6.xml" Id="R7a644dcf224d42e0" /><Relationship Type="http://schemas.openxmlformats.org/officeDocument/2006/relationships/worksheet" Target="/xl/worksheets/sheet7.xml" Id="Rf854d89a1f674252" /><Relationship Type="http://schemas.openxmlformats.org/officeDocument/2006/relationships/worksheet" Target="/xl/worksheets/sheet8.xml" Id="R405c070ca73a478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8" hidden="0" customWidth="1"/>
    <x:col min="4" max="4" width="36" hidden="0" customWidth="1"/>
    <x:col min="5" max="5" width="20" hidden="0" customWidth="1"/>
    <x:col min="6" max="6" width="20" hidden="0" customWidth="1"/>
    <x:col min="7" max="7" width="12" hidden="0" customWidth="1"/>
    <x:col min="8" max="8" width="16" hidden="0" customWidth="1"/>
    <x:col min="9" max="9" width="15" hidden="0" customWidth="1"/>
    <x:col min="10" max="10" width="13" hidden="0" customWidth="1"/>
    <x:col min="11" max="11" width="13" hidden="0" customWidth="1"/>
    <x:col min="12" max="12" width="18" hidden="0" customWidth="1"/>
  </x:cols>
  <x:sheetData>
    <x:row r="1" ht="30" customHeight="1">
      <x:c r="A1" s="26" t="str">
        <x:v>Consultant and BA Prompt Library</x:v>
      </x:c>
      <x:c r="B1" s="27"/>
      <x:c r="C1" s="27"/>
      <x:c r="D1" s="27"/>
      <x:c r="E1" s="27"/>
      <x:c r="F1" s="27"/>
      <x:c r="G1" s="27"/>
      <x:c r="H1" s="27"/>
      <x:c r="I1" s="27"/>
      <x:c r="J1" s="27"/>
      <x:c r="K1" s="27"/>
      <x:c r="L1" s="27"/>
    </x:row>
    <x:row r="2">
      <x:c r="A2" s="28" t="str">
        <x:v>Controlled catalogue. Save reusable structures, not client names, dates, content or links.</x:v>
      </x:c>
      <x:c r="B2" s="27"/>
      <x:c r="C2" s="27"/>
      <x:c r="D2" s="27"/>
      <x:c r="E2" s="27"/>
      <x:c r="F2" s="27"/>
      <x:c r="G2" s="27"/>
      <x:c r="H2" s="27"/>
      <x:c r="I2" s="27"/>
      <x:c r="J2" s="27"/>
      <x:c r="K2" s="27"/>
      <x:c r="L2" s="27"/>
    </x:row>
    <x:row r="3">
      <x:c r="A3" s="27"/>
      <x:c r="B3" s="27"/>
      <x:c r="C3" s="27"/>
      <x:c r="D3" s="27"/>
      <x:c r="E3" s="27"/>
      <x:c r="F3" s="27"/>
      <x:c r="G3" s="27"/>
      <x:c r="H3" s="27"/>
      <x:c r="I3" s="27"/>
      <x:c r="J3" s="27"/>
      <x:c r="K3" s="27"/>
      <x:c r="L3" s="27"/>
    </x:row>
    <x:row r="4" ht="34" customHeight="1">
      <x:c r="A4" s="29" t="str">
        <x:v>Prompt ID</x:v>
      </x:c>
      <x:c r="B4" s="29" t="str">
        <x:v>Title</x:v>
      </x:c>
      <x:c r="C4" s="29" t="str">
        <x:v>Category</x:v>
      </x:c>
      <x:c r="D4" s="29" t="str">
        <x:v>Business outcome</x:v>
      </x:c>
      <x:c r="E4" s="29" t="str">
        <x:v>Application</x:v>
      </x:c>
      <x:c r="F4" s="29" t="str">
        <x:v>Status</x:v>
      </x:c>
      <x:c r="G4" s="29" t="str">
        <x:v>Version</x:v>
      </x:c>
      <x:c r="H4" s="29" t="str">
        <x:v>Owner</x:v>
      </x:c>
      <x:c r="I4" s="29" t="str">
        <x:v>Last tested</x:v>
      </x:c>
      <x:c r="J4" s="29" t="str">
        <x:v>Case A</x:v>
      </x:c>
      <x:c r="K4" s="29" t="str">
        <x:v>Case B</x:v>
      </x:c>
      <x:c r="L4" s="29" t="str">
        <x:v>Prompt text ref</x:v>
      </x:c>
    </x:row>
    <x:row r="5" ht="48" customHeight="1">
      <x:c r="A5" s="30" t="str">
        <x:v>BA-01</x:v>
      </x:c>
      <x:c r="B5" s="30" t="str">
        <x:v>Client Discovery Plan</x:v>
      </x:c>
      <x:c r="C5" s="30" t="str">
        <x:v>Discovery</x:v>
      </x:c>
      <x:c r="D5" s="30" t="str">
        <x:v>Prepare a structured discovery plan</x:v>
      </x:c>
      <x:c r="E5" s="30" t="str">
        <x:v>Copilot Chat</x:v>
      </x:c>
      <x:c r="F5" s="30" t="str">
        <x:v>Starter - not tested</x:v>
      </x:c>
      <x:c r="G5" s="30" t="str">
        <x:v>v0.1</x:v>
      </x:c>
      <x:c r="H5" s="30" t="str">
        <x:v>Hanna</x:v>
      </x:c>
      <x:c r="I5" s="30" t="str"/>
      <x:c r="J5" s="30" t="str">
        <x:v>Not tested</x:v>
      </x:c>
      <x:c r="K5" s="30" t="str">
        <x:v>Not tested</x:v>
      </x:c>
      <x:c r="L5" s="30" t="str">
        <x:v>Prompt Text!A5</x:v>
      </x:c>
    </x:row>
    <x:row r="6" ht="48" customHeight="1">
      <x:c r="A6" s="30" t="str">
        <x:v>BA-02</x:v>
      </x:c>
      <x:c r="B6" s="30" t="str">
        <x:v>Evidence-Based Interview Questions</x:v>
      </x:c>
      <x:c r="C6" s="30" t="str">
        <x:v>Discovery</x:v>
      </x:c>
      <x:c r="D6" s="30" t="str">
        <x:v>Generate questions tied to scope and evidence gaps</x:v>
      </x:c>
      <x:c r="E6" s="30" t="str">
        <x:v>Copilot Chat</x:v>
      </x:c>
      <x:c r="F6" s="30" t="str">
        <x:v>Starter - not tested</x:v>
      </x:c>
      <x:c r="G6" s="30" t="str">
        <x:v>v0.1</x:v>
      </x:c>
      <x:c r="H6" s="30" t="str">
        <x:v>Hanna</x:v>
      </x:c>
      <x:c r="I6" s="30" t="str"/>
      <x:c r="J6" s="30" t="str">
        <x:v>Not tested</x:v>
      </x:c>
      <x:c r="K6" s="30" t="str">
        <x:v>Not tested</x:v>
      </x:c>
      <x:c r="L6" s="30" t="str">
        <x:v>Prompt Text!A6</x:v>
      </x:c>
    </x:row>
    <x:row r="7" ht="48" customHeight="1">
      <x:c r="A7" s="30" t="str">
        <x:v>BA-03</x:v>
      </x:c>
      <x:c r="B7" s="30" t="str">
        <x:v>Requirements Evidence Register</x:v>
      </x:c>
      <x:c r="C7" s="30" t="str">
        <x:v>Requirements</x:v>
      </x:c>
      <x:c r="D7" s="30" t="str">
        <x:v>Extract traceable requirements without converting assumptions</x:v>
      </x:c>
      <x:c r="E7" s="30" t="str">
        <x:v>Copilot Chat</x:v>
      </x:c>
      <x:c r="F7" s="30" t="str">
        <x:v>Starter - not tested</x:v>
      </x:c>
      <x:c r="G7" s="30" t="str">
        <x:v>v0.1</x:v>
      </x:c>
      <x:c r="H7" s="30" t="str">
        <x:v>Hanna</x:v>
      </x:c>
      <x:c r="I7" s="30" t="str"/>
      <x:c r="J7" s="30" t="str">
        <x:v>Not tested</x:v>
      </x:c>
      <x:c r="K7" s="30" t="str">
        <x:v>Not tested</x:v>
      </x:c>
      <x:c r="L7" s="30" t="str">
        <x:v>Prompt Text!A7</x:v>
      </x:c>
    </x:row>
    <x:row r="8" ht="48" customHeight="1">
      <x:c r="A8" s="30" t="str">
        <x:v>BA-04</x:v>
      </x:c>
      <x:c r="B8" s="30" t="str">
        <x:v>Ambiguity and Conflict Review</x:v>
      </x:c>
      <x:c r="C8" s="30" t="str">
        <x:v>Requirements</x:v>
      </x:c>
      <x:c r="D8" s="30" t="str">
        <x:v>Find gaps, conflicts and missing decisions</x:v>
      </x:c>
      <x:c r="E8" s="30" t="str">
        <x:v>Copilot Chat</x:v>
      </x:c>
      <x:c r="F8" s="30" t="str">
        <x:v>Starter - not tested</x:v>
      </x:c>
      <x:c r="G8" s="30" t="str">
        <x:v>v0.1</x:v>
      </x:c>
      <x:c r="H8" s="30" t="str">
        <x:v>Hanna</x:v>
      </x:c>
      <x:c r="I8" s="30" t="str"/>
      <x:c r="J8" s="30" t="str">
        <x:v>Not tested</x:v>
      </x:c>
      <x:c r="K8" s="30" t="str">
        <x:v>Not tested</x:v>
      </x:c>
      <x:c r="L8" s="30" t="str">
        <x:v>Prompt Text!A8</x:v>
      </x:c>
    </x:row>
    <x:row r="9" ht="48" customHeight="1">
      <x:c r="A9" s="30" t="str">
        <x:v>BA-05</x:v>
      </x:c>
      <x:c r="B9" s="30" t="str">
        <x:v>Current-State Process and Exceptions</x:v>
      </x:c>
      <x:c r="C9" s="30" t="str">
        <x:v>Process</x:v>
      </x:c>
      <x:c r="D9" s="30" t="str">
        <x:v>Describe steps, handoffs, systems and exceptions</x:v>
      </x:c>
      <x:c r="E9" s="30" t="str">
        <x:v>Copilot Chat</x:v>
      </x:c>
      <x:c r="F9" s="30" t="str">
        <x:v>Starter - not tested</x:v>
      </x:c>
      <x:c r="G9" s="30" t="str">
        <x:v>v0.1</x:v>
      </x:c>
      <x:c r="H9" s="30" t="str">
        <x:v>Hanna</x:v>
      </x:c>
      <x:c r="I9" s="30" t="str"/>
      <x:c r="J9" s="30" t="str">
        <x:v>Not tested</x:v>
      </x:c>
      <x:c r="K9" s="30" t="str">
        <x:v>Not tested</x:v>
      </x:c>
      <x:c r="L9" s="30" t="str">
        <x:v>Prompt Text!A9</x:v>
      </x:c>
    </x:row>
    <x:row r="10" ht="48" customHeight="1">
      <x:c r="A10" s="30" t="str">
        <x:v>BA-06</x:v>
      </x:c>
      <x:c r="B10" s="30" t="str">
        <x:v>User Stories and Acceptance Criteria</x:v>
      </x:c>
      <x:c r="C10" s="30" t="str">
        <x:v>Requirements</x:v>
      </x:c>
      <x:c r="D10" s="30" t="str">
        <x:v>Draft testable stories from confirmed evidence</x:v>
      </x:c>
      <x:c r="E10" s="30" t="str">
        <x:v>Copilot Chat</x:v>
      </x:c>
      <x:c r="F10" s="30" t="str">
        <x:v>Starter - not tested</x:v>
      </x:c>
      <x:c r="G10" s="30" t="str">
        <x:v>v0.1</x:v>
      </x:c>
      <x:c r="H10" s="30" t="str">
        <x:v>Hanna</x:v>
      </x:c>
      <x:c r="I10" s="30" t="str"/>
      <x:c r="J10" s="30" t="str">
        <x:v>Not tested</x:v>
      </x:c>
      <x:c r="K10" s="30" t="str">
        <x:v>Not tested</x:v>
      </x:c>
      <x:c r="L10" s="30" t="str">
        <x:v>Prompt Text!A10</x:v>
      </x:c>
    </x:row>
    <x:row r="11" ht="48" customHeight="1">
      <x:c r="A11" s="30" t="str">
        <x:v>PM-01</x:v>
      </x:c>
      <x:c r="B11" s="30" t="str">
        <x:v>Meeting Decisions and Actions</x:v>
      </x:c>
      <x:c r="C11" s="30" t="str">
        <x:v>Meetings</x:v>
      </x:c>
      <x:c r="D11" s="30" t="str">
        <x:v>Separate decisions, actions, proposals and unresolved items</x:v>
      </x:c>
      <x:c r="E11" s="30" t="str">
        <x:v>Copilot Chat / Teams</x:v>
      </x:c>
      <x:c r="F11" s="30" t="str">
        <x:v>Starter - not tested</x:v>
      </x:c>
      <x:c r="G11" s="30" t="str">
        <x:v>v0.1</x:v>
      </x:c>
      <x:c r="H11" s="30" t="str">
        <x:v>Hanna</x:v>
      </x:c>
      <x:c r="I11" s="30" t="str"/>
      <x:c r="J11" s="30" t="str">
        <x:v>Not tested</x:v>
      </x:c>
      <x:c r="K11" s="30" t="str">
        <x:v>Not tested</x:v>
      </x:c>
      <x:c r="L11" s="30" t="str">
        <x:v>Prompt Text!A11</x:v>
      </x:c>
    </x:row>
    <x:row r="12" ht="48" customHeight="1">
      <x:c r="A12" s="30" t="str">
        <x:v>PM-02</x:v>
      </x:c>
      <x:c r="B12" s="30" t="str">
        <x:v>Controlled Change Impact Assessment</x:v>
      </x:c>
      <x:c r="C12" s="30" t="str">
        <x:v>Change</x:v>
      </x:c>
      <x:c r="D12" s="30" t="str">
        <x:v>Assess one requested change against approved scope</x:v>
      </x:c>
      <x:c r="E12" s="30" t="str">
        <x:v>Copilot Chat</x:v>
      </x:c>
      <x:c r="F12" s="30" t="str">
        <x:v>Starter - not tested</x:v>
      </x:c>
      <x:c r="G12" s="30" t="str">
        <x:v>v0.1</x:v>
      </x:c>
      <x:c r="H12" s="30" t="str">
        <x:v>Hanna</x:v>
      </x:c>
      <x:c r="I12" s="30" t="str"/>
      <x:c r="J12" s="30" t="str">
        <x:v>Not tested</x:v>
      </x:c>
      <x:c r="K12" s="30" t="str">
        <x:v>Not tested</x:v>
      </x:c>
      <x:c r="L12" s="30" t="str">
        <x:v>Prompt Text!A12</x:v>
      </x:c>
    </x:row>
    <x:row r="13" ht="48" customHeight="1">
      <x:c r="A13" s="30" t="str">
        <x:v>PM-03</x:v>
      </x:c>
      <x:c r="B13" s="30" t="str">
        <x:v>Vendor Proposal Comparison</x:v>
      </x:c>
      <x:c r="C13" s="30" t="str">
        <x:v>Governance</x:v>
      </x:c>
      <x:c r="D13" s="30" t="str">
        <x:v>Compare vendors using fixed criteria and evidence</x:v>
      </x:c>
      <x:c r="E13" s="30" t="str">
        <x:v>Copilot Chat</x:v>
      </x:c>
      <x:c r="F13" s="30" t="str">
        <x:v>Starter - not tested</x:v>
      </x:c>
      <x:c r="G13" s="30" t="str">
        <x:v>v0.1</x:v>
      </x:c>
      <x:c r="H13" s="30" t="str">
        <x:v>Hanna</x:v>
      </x:c>
      <x:c r="I13" s="30" t="str"/>
      <x:c r="J13" s="30" t="str">
        <x:v>Not tested</x:v>
      </x:c>
      <x:c r="K13" s="30" t="str">
        <x:v>Not tested</x:v>
      </x:c>
      <x:c r="L13" s="30" t="str">
        <x:v>Prompt Text!A13</x:v>
      </x:c>
    </x:row>
    <x:row r="14" ht="48" customHeight="1">
      <x:c r="A14" s="30" t="str">
        <x:v>COM-01</x:v>
      </x:c>
      <x:c r="B14" s="30" t="str">
        <x:v>Steering and Executive Update</x:v>
      </x:c>
      <x:c r="C14" s="30" t="str">
        <x:v>Communication</x:v>
      </x:c>
      <x:c r="D14" s="30" t="str">
        <x:v>Create a concise evidence-based status update</x:v>
      </x:c>
      <x:c r="E14" s="30" t="str">
        <x:v>Copilot Chat</x:v>
      </x:c>
      <x:c r="F14" s="30" t="str">
        <x:v>Starter - not tested</x:v>
      </x:c>
      <x:c r="G14" s="30" t="str">
        <x:v>v0.1</x:v>
      </x:c>
      <x:c r="H14" s="30" t="str">
        <x:v>Hanna</x:v>
      </x:c>
      <x:c r="I14" s="30" t="str"/>
      <x:c r="J14" s="30" t="str">
        <x:v>Not tested</x:v>
      </x:c>
      <x:c r="K14" s="30" t="str">
        <x:v>Not tested</x:v>
      </x:c>
      <x:c r="L14" s="30" t="str">
        <x:v>Prompt Text!A14</x:v>
      </x:c>
    </x:row>
    <x:row r="15" ht="48" customHeight="1">
      <x:c r="A15" s="30" t="str">
        <x:v>QA-01</x:v>
      </x:c>
      <x:c r="B15" s="30" t="str">
        <x:v>UAT Scenario Generator</x:v>
      </x:c>
      <x:c r="C15" s="30" t="str">
        <x:v>Testing</x:v>
      </x:c>
      <x:c r="D15" s="30" t="str">
        <x:v>Create traceable positive, negative and exception scenarios</x:v>
      </x:c>
      <x:c r="E15" s="30" t="str">
        <x:v>Copilot Chat</x:v>
      </x:c>
      <x:c r="F15" s="30" t="str">
        <x:v>Starter - not tested</x:v>
      </x:c>
      <x:c r="G15" s="30" t="str">
        <x:v>v0.1</x:v>
      </x:c>
      <x:c r="H15" s="30" t="str">
        <x:v>Hanna</x:v>
      </x:c>
      <x:c r="I15" s="30" t="str"/>
      <x:c r="J15" s="30" t="str">
        <x:v>Not tested</x:v>
      </x:c>
      <x:c r="K15" s="30" t="str">
        <x:v>Not tested</x:v>
      </x:c>
      <x:c r="L15" s="30" t="str">
        <x:v>Prompt Text!A15</x:v>
      </x:c>
    </x:row>
    <x:row r="16" ht="48" customHeight="1">
      <x:c r="A16" s="30" t="str">
        <x:v>QA-02</x:v>
      </x:c>
      <x:c r="B16" s="30" t="str">
        <x:v>Deliverable Pre-Flight Review</x:v>
      </x:c>
      <x:c r="C16" s="30" t="str">
        <x:v>Quality</x:v>
      </x:c>
      <x:c r="D16" s="30" t="str">
        <x:v>Find unsupported claims, gaps and audience problems</x:v>
      </x:c>
      <x:c r="E16" s="30" t="str">
        <x:v>Copilot Chat</x:v>
      </x:c>
      <x:c r="F16" s="30" t="str">
        <x:v>Starter - not tested</x:v>
      </x:c>
      <x:c r="G16" s="30" t="str">
        <x:v>v0.1</x:v>
      </x:c>
      <x:c r="H16" s="30" t="str">
        <x:v>Hanna</x:v>
      </x:c>
      <x:c r="I16" s="30" t="str"/>
      <x:c r="J16" s="30" t="str">
        <x:v>Not tested</x:v>
      </x:c>
      <x:c r="K16" s="30" t="str">
        <x:v>Not tested</x:v>
      </x:c>
      <x:c r="L16" s="30" t="str">
        <x:v>Prompt Text!A16</x:v>
      </x:c>
    </x:row>
  </x:sheetData>
  <x:mergeCells>
    <x:mergeCell ref="A1:L1"/>
    <x:mergeCell ref="A2:L2"/>
  </x:mergeCells>
  <x:conditionalFormatting sqref="F5:F30">
    <x:cfRule type="containsText" dxfId="0" priority="1" operator="containsText" text="Approved"/>
    <x:cfRule type="containsText" dxfId="1" priority="2" operator="containsText" text="Retired"/>
  </x:conditionalFormatting>
  <x:dataValidations count="2">
    <x:dataValidation type="list" sqref="F5:F30">
      <x:formula1>"Starter - not tested,Draft,Tested,Approved,Retired"</x:formula1>
    </x:dataValidation>
    <x:dataValidation type="list" sqref="J5:K30">
      <x:formula1>"Not tested,Pass,Check,Fail"</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90" hidden="0" customWidth="1"/>
    <x:col min="3" max="3" width="30" hidden="0" customWidth="1"/>
    <x:col min="4" max="4" width="38" hidden="0" customWidth="1"/>
  </x:cols>
  <x:sheetData>
    <x:row r="1" ht="30" customHeight="1">
      <x:c r="A1" s="26" t="str">
        <x:v>Prompt Text</x:v>
      </x:c>
      <x:c r="B1" s="27"/>
      <x:c r="C1" s="27"/>
      <x:c r="D1" s="27"/>
    </x:row>
    <x:row r="2">
      <x:c r="A2" s="28" t="str">
        <x:v>Complete reusable prompts. Replace every bracketed placeholder before execution.</x:v>
      </x:c>
      <x:c r="B2" s="27"/>
      <x:c r="C2" s="27"/>
      <x:c r="D2" s="27"/>
    </x:row>
    <x:row r="3">
      <x:c r="A3" s="27"/>
      <x:c r="B3" s="27"/>
      <x:c r="C3" s="27"/>
      <x:c r="D3" s="27"/>
    </x:row>
    <x:row r="4" ht="34" customHeight="1">
      <x:c r="A4" s="29" t="str">
        <x:v>Prompt ID</x:v>
      </x:c>
      <x:c r="B4" s="29" t="str">
        <x:v>Complete prompt</x:v>
      </x:c>
      <x:c r="C4" s="29" t="str">
        <x:v>Required placeholders</x:v>
      </x:c>
      <x:c r="D4" s="29" t="str">
        <x:v>Human verification</x:v>
      </x:c>
    </x:row>
    <x:row r="5" ht="190" customHeight="1">
      <x:c r="A5" s="30" t="str">
        <x:v>BA-01</x:v>
      </x:c>
      <x:c r="B5" s="30" t="str">
        <x:v>Goal
Prepare a discovery plan for [PROJECT OR PROBLEM].
Source
Use only [APPROVED SOURCE].
Context
The plan supports [AUDIENCE] in deciding [PURPOSE OR DECISION].
Expectations
Return objectives, known facts, assumptions, stakeholder groups, evidence gaps, interview topics, workshop activities, deliverables, risks and human decisions. Cite the source for each known fact. Do not invent scope, owners, dates or approvals. Mark missing items Not confirmed.</x:v>
      </x:c>
      <x:c r="C5" s="30" t="str">
        <x:v>Complete all [BRACKETED] values</x:v>
      </x:c>
      <x:c r="D5" s="30" t="str">
        <x:v>Check source, uncertainty, owners, dates, decisions and client leakage</x:v>
      </x:c>
    </x:row>
    <x:row r="6" ht="190" customHeight="1">
      <x:c r="A6" s="30" t="str">
        <x:v>BA-02</x:v>
      </x:c>
      <x:c r="B6" s="30" t="str">
        <x:v>Goal
Create evidence-based interview questions for [STAKEHOLDER ROLE] about [TOPIC].
Source
Use only [APPROVED SOURCE].
Context
The interview supports [PURPOSE OR DECISION].
Expectations
Group questions by current work, problems, exceptions, data, decisions, risks and success measures. For each question explain the evidence gap it addresses. Do not embed an assumed solution in the question. Mark any source conflict separately.</x:v>
      </x:c>
      <x:c r="C6" s="30" t="str">
        <x:v>Complete all [BRACKETED] values</x:v>
      </x:c>
      <x:c r="D6" s="30" t="str">
        <x:v>Check source, uncertainty, owners, dates, decisions and client leakage</x:v>
      </x:c>
    </x:row>
    <x:row r="7" ht="190" customHeight="1">
      <x:c r="A7" s="30" t="str">
        <x:v>BA-03</x:v>
      </x:c>
      <x:c r="B7" s="30" t="str">
        <x:v>Goal
Review [SOURCE] and prepare a requirements-evidence register for [PROJECT].
Context
The register will be reviewed by [AUDIENCE] to support [PURPOSE OR DECISION].
Source
Use only [APPROVED SOURCE]. Do not use another project or general knowledge.
Expectations
For every item include Requirement ID, statement, type, source evidence, stakeholder, acceptance condition, confidence and open question. Separate confirmed requirements, assumptions and recommendations. Do not invent an owner, deadline or decision. Write Not confirmed when evidence is missing.</x:v>
      </x:c>
      <x:c r="C7" s="30" t="str">
        <x:v>Complete all [BRACKETED] values</x:v>
      </x:c>
      <x:c r="D7" s="30" t="str">
        <x:v>Check source, uncertainty, owners, dates, decisions and client leakage</x:v>
      </x:c>
    </x:row>
    <x:row r="8" ht="190" customHeight="1">
      <x:c r="A8" s="30" t="str">
        <x:v>BA-04</x:v>
      </x:c>
      <x:c r="B8" s="30" t="str">
        <x:v>Goal
Review [SOURCE] for ambiguity, conflict and missing decisions.
Context
The review supports [AUDIENCE] before [MILESTONE OR DECISION].
Expectations
Return issue ID, exact statements, issue type, impact, affected requirement or process, clarification question and suggested decision owner only when the source names one. Do not resolve conflicts yourself. Keep recommendations separate from facts.</x:v>
      </x:c>
      <x:c r="C8" s="30" t="str">
        <x:v>Complete all [BRACKETED] values</x:v>
      </x:c>
      <x:c r="D8" s="30" t="str">
        <x:v>Check source, uncertainty, owners, dates, decisions and client leakage</x:v>
      </x:c>
    </x:row>
    <x:row r="9" ht="190" customHeight="1">
      <x:c r="A9" s="30" t="str">
        <x:v>BA-05</x:v>
      </x:c>
      <x:c r="B9" s="30" t="str">
        <x:v>Goal
Create a current-state process and exception analysis from [SOURCE].
Context
The analysis supports [PURPOSE] for [AUDIENCE].
Expectations
Return trigger, steps, actors, systems, inputs, outputs, handoffs, decisions, exceptions, pain points and missing evidence. Cite source record IDs. Do not design the future state unless explicitly requested. Mark sequence or ownership that cannot be proven Not confirmed.</x:v>
      </x:c>
      <x:c r="C9" s="30" t="str">
        <x:v>Complete all [BRACKETED] values</x:v>
      </x:c>
      <x:c r="D9" s="30" t="str">
        <x:v>Check source, uncertainty, owners, dates, decisions and client leakage</x:v>
      </x:c>
    </x:row>
    <x:row r="10" ht="190" customHeight="1">
      <x:c r="A10" s="30" t="str">
        <x:v>BA-06</x:v>
      </x:c>
      <x:c r="B10" s="30" t="str">
        <x:v>Goal
Draft user stories and acceptance criteria from confirmed items in [SOURCE].
Context
The draft supports [TEAM OR AUDIENCE] during [PURPOSE].
Expectations
For each story include source requirement ID, user story, business value, Given-When-Then criteria, negative case, exception case, dependency and open question. Do not convert recommendations or assumptions into approved scope. Flag untestable language.</x:v>
      </x:c>
      <x:c r="C10" s="30" t="str">
        <x:v>Complete all [BRACKETED] values</x:v>
      </x:c>
      <x:c r="D10" s="30" t="str">
        <x:v>Check source, uncertainty, owners, dates, decisions and client leakage</x:v>
      </x:c>
    </x:row>
    <x:row r="11" ht="190" customHeight="1">
      <x:c r="A11" s="30" t="str">
        <x:v>PM-01</x:v>
      </x:c>
      <x:c r="B11" s="30" t="str">
        <x:v>Goal
Extract the meeting record from [MEETING NOTES OR TRANSCRIPT].
Context
The record supports [AUDIENCE] and [PURPOSE].
Expectations
Separate confirmed decisions, proposed decisions, actions, unresolved questions, conflicts and parking-lot topics. For actions include owner and deadline only when explicit. Cite speaker or source section. Do not turn discussion into agreement.</x:v>
      </x:c>
      <x:c r="C11" s="30" t="str">
        <x:v>Complete all [BRACKETED] values</x:v>
      </x:c>
      <x:c r="D11" s="30" t="str">
        <x:v>Check source, uncertainty, owners, dates, decisions and client leakage</x:v>
      </x:c>
    </x:row>
    <x:row r="12" ht="190" customHeight="1">
      <x:c r="A12" s="30" t="str">
        <x:v>PM-02</x:v>
      </x:c>
      <x:c r="B12" s="30" t="str">
        <x:v>Goal
Assess change request [CHANGE] against [APPROVED BASELINE].
Context
The assessment supports [DECISION BODY].
Expectations
Return requested delta, affected requirements, process, data, integrations, security, testing, training, schedule, cost assumptions, risks, dependencies and open questions. Separate evidence from estimated impact. Do not approve, reject or price the change.</x:v>
      </x:c>
      <x:c r="C12" s="30" t="str">
        <x:v>Complete all [BRACKETED] values</x:v>
      </x:c>
      <x:c r="D12" s="30" t="str">
        <x:v>Check source, uncertainty, owners, dates, decisions and client leakage</x:v>
      </x:c>
    </x:row>
    <x:row r="13" ht="190" customHeight="1">
      <x:c r="A13" s="30" t="str">
        <x:v>PM-03</x:v>
      </x:c>
      <x:c r="B13" s="30" t="str">
        <x:v>Goal
Compare [VENDOR SOURCES] using [APPROVED CRITERIA].
Context
The comparison supports [AUDIENCE] in [DECISION].
Expectations
Create one row per criterion and vendor with evidence, gap, confidence and follow-up question. Use Not provided when evidence is absent. Do not infer capability from marketing language. Keep price, compliance and implementation assumptions visible.</x:v>
      </x:c>
      <x:c r="C13" s="30" t="str">
        <x:v>Complete all [BRACKETED] values</x:v>
      </x:c>
      <x:c r="D13" s="30" t="str">
        <x:v>Check source, uncertainty, owners, dates, decisions and client leakage</x:v>
      </x:c>
    </x:row>
    <x:row r="14" ht="190" customHeight="1">
      <x:c r="A14" s="30" t="str">
        <x:v>COM-01</x:v>
      </x:c>
      <x:c r="B14" s="30" t="str">
        <x:v>Goal
Prepare a [STEERING OR EXECUTIVE] update for [AUDIENCE].
Source
Use only [APPROVED SOURCE].
Expectations
Lead with overall status and decision required. Include confirmed progress, changes, risks, decisions, actions and unresolved items. Keep under [LIMIT]. Do not create reassurance, ownership or deadlines that the source does not support.</x:v>
      </x:c>
      <x:c r="C14" s="30" t="str">
        <x:v>Complete all [BRACKETED] values</x:v>
      </x:c>
      <x:c r="D14" s="30" t="str">
        <x:v>Check source, uncertainty, owners, dates, decisions and client leakage</x:v>
      </x:c>
    </x:row>
    <x:row r="15" ht="190" customHeight="1">
      <x:c r="A15" s="30" t="str">
        <x:v>QA-01</x:v>
      </x:c>
      <x:c r="B15" s="30" t="str">
        <x:v>Goal
Create UAT scenarios for [SCOPE] from [APPROVED REQUIREMENTS].
Context
The scenarios support [TEST AUDIENCE].
Expectations
Include scenario ID, requirement ID, preconditions, data, steps, expected result, negative case, exception case and evidence gap. Do not test requirements that are not approved. Flag ambiguous acceptance criteria before generating detailed steps.</x:v>
      </x:c>
      <x:c r="C15" s="30" t="str">
        <x:v>Complete all [BRACKETED] values</x:v>
      </x:c>
      <x:c r="D15" s="30" t="str">
        <x:v>Check source, uncertainty, owners, dates, decisions and client leakage</x:v>
      </x:c>
    </x:row>
    <x:row r="16" ht="190" customHeight="1">
      <x:c r="A16" s="30" t="str">
        <x:v>QA-02</x:v>
      </x:c>
      <x:c r="B16" s="30" t="str">
        <x:v>Goal
Review [DELIVERABLE] before it is sent to [AUDIENCE].
Expectations
Check factual support, completeness, internal consistency, audience fit, decisions versus proposals, owners and deadlines, sensitive information, undefined terms and required action. Return exceptions first with exact location and correction question. Do not rewrite until the exceptions are reviewed.</x:v>
      </x:c>
      <x:c r="C16" s="30" t="str">
        <x:v>Complete all [BRACKETED] values</x:v>
      </x:c>
      <x:c r="D16" s="30" t="str">
        <x:v>Check source, uncertainty, owners, dates, decisions and client leakage</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0" hidden="0" customWidth="1"/>
    <x:col min="4" max="4" width="20" hidden="0" customWidth="1"/>
    <x:col min="5" max="5" width="14" hidden="0" customWidth="1"/>
    <x:col min="6" max="6" width="13" hidden="0" customWidth="1"/>
    <x:col min="7" max="7" width="15" hidden="0" customWidth="1"/>
    <x:col min="8" max="8" width="14" hidden="0" customWidth="1"/>
    <x:col min="9" max="9" width="16" hidden="0" customWidth="1"/>
    <x:col min="10" max="10" width="12" hidden="0" customWidth="1"/>
    <x:col min="11" max="11" width="14" hidden="0" customWidth="1"/>
    <x:col min="12" max="12" width="17" hidden="0" customWidth="1"/>
    <x:col min="13" max="13" width="13" hidden="0" customWidth="1"/>
    <x:col min="14" max="14" width="12" hidden="0" customWidth="1"/>
  </x:cols>
  <x:sheetData>
    <x:row r="1" ht="30" customHeight="1">
      <x:c r="A1" s="26" t="str">
        <x:v>Test Log</x:v>
      </x:c>
      <x:c r="B1" s="27"/>
      <x:c r="C1" s="27"/>
      <x:c r="D1" s="27"/>
      <x:c r="E1" s="27"/>
      <x:c r="F1" s="27"/>
      <x:c r="G1" s="27"/>
      <x:c r="H1" s="27"/>
      <x:c r="I1" s="27"/>
      <x:c r="J1" s="27"/>
      <x:c r="K1" s="27"/>
      <x:c r="L1" s="27"/>
      <x:c r="M1" s="27"/>
      <x:c r="N1" s="27"/>
    </x:row>
    <x:row r="2">
      <x:c r="A2" s="28" t="str">
        <x:v>A prompt requires two different cases. Unsupported additions automatically trigger Fail.</x:v>
      </x:c>
      <x:c r="B2" s="27"/>
      <x:c r="C2" s="27"/>
      <x:c r="D2" s="27"/>
      <x:c r="E2" s="27"/>
      <x:c r="F2" s="27"/>
      <x:c r="G2" s="27"/>
      <x:c r="H2" s="27"/>
      <x:c r="I2" s="27"/>
      <x:c r="J2" s="27"/>
      <x:c r="K2" s="27"/>
      <x:c r="L2" s="27"/>
      <x:c r="M2" s="27"/>
      <x:c r="N2" s="27"/>
    </x:row>
    <x:row r="3">
      <x:c r="A3" s="27"/>
      <x:c r="B3" s="27"/>
      <x:c r="C3" s="27"/>
      <x:c r="D3" s="27"/>
      <x:c r="E3" s="27"/>
      <x:c r="F3" s="27"/>
      <x:c r="G3" s="27"/>
      <x:c r="H3" s="27"/>
      <x:c r="I3" s="27"/>
      <x:c r="J3" s="27"/>
      <x:c r="K3" s="27"/>
      <x:c r="L3" s="27"/>
      <x:c r="M3" s="27"/>
      <x:c r="N3" s="27"/>
    </x:row>
    <x:row r="4" ht="34" customHeight="1">
      <x:c r="A4" s="29" t="str">
        <x:v>Test ID</x:v>
      </x:c>
      <x:c r="B4" s="29" t="str">
        <x:v>Prompt ID</x:v>
      </x:c>
      <x:c r="C4" s="29" t="str">
        <x:v>Version</x:v>
      </x:c>
      <x:c r="D4" s="29" t="str">
        <x:v>Case</x:v>
      </x:c>
      <x:c r="E4" s="29" t="str">
        <x:v>Tester</x:v>
      </x:c>
      <x:c r="F4" s="29" t="str">
        <x:v>Date</x:v>
      </x:c>
      <x:c r="G4" s="29" t="str">
        <x:v>Source discipline</x:v>
      </x:c>
      <x:c r="H4" s="29" t="str">
        <x:v>Completeness</x:v>
      </x:c>
      <x:c r="I4" s="29" t="str">
        <x:v>Uncertainty visible</x:v>
      </x:c>
      <x:c r="J4" s="29" t="str">
        <x:v>Structure</x:v>
      </x:c>
      <x:c r="K4" s="29" t="str">
        <x:v>Reusability</x:v>
      </x:c>
      <x:c r="L4" s="29" t="str">
        <x:v>Unsupported additions</x:v>
      </x:c>
      <x:c r="M4" s="29" t="str">
        <x:v>Overall score</x:v>
      </x:c>
      <x:c r="N4" s="29" t="str">
        <x:v>Result</x:v>
      </x:c>
    </x:row>
    <x:row r="5" ht="38" customHeight="1">
      <x:c r="A5" s="30" t="str">
        <x:v>T-001</x:v>
      </x:c>
      <x:c r="B5" s="30" t="str">
        <x:v>BA-03</x:v>
      </x:c>
      <x:c r="C5" s="30" t="str">
        <x:v>v0.1</x:v>
      </x:c>
      <x:c r="D5" s="30" t="str">
        <x:v>Project Meridian</x:v>
      </x:c>
      <x:c r="E5" s="30" t="str">
        <x:v>Hanna</x:v>
      </x:c>
      <x:c r="F5" s="30"/>
      <x:c r="G5" s="31"/>
      <x:c r="H5" s="31"/>
      <x:c r="I5" s="31"/>
      <x:c r="J5" s="31"/>
      <x:c r="K5" s="31"/>
      <x:c r="L5" s="31" t="n">
        <x:v>0</x:v>
      </x:c>
      <x:c r="M5" s="32" t="str">
        <x:f>IF(COUNT(G5:K5)&lt;5,"",ROUND(AVERAGE(G5:K5)-MIN(L5,2),2))</x:f>
      </x:c>
      <x:c r="N5" s="30" t="str">
        <x:f>IF(M5="","",IF(L5&gt;0,"Fail",IF(M5&gt;=4,"Pass",IF(M5&gt;=3,"Check","Fail"))))</x:f>
      </x:c>
    </x:row>
    <x:row r="6" ht="38" customHeight="1">
      <x:c r="A6" s="30" t="str">
        <x:v>T-002</x:v>
      </x:c>
      <x:c r="B6" s="30" t="str">
        <x:v>BA-03</x:v>
      </x:c>
      <x:c r="C6" s="30" t="str">
        <x:v>v0.1</x:v>
      </x:c>
      <x:c r="D6" s="30" t="str">
        <x:v>Project Harbor</x:v>
      </x:c>
      <x:c r="E6" s="30" t="str">
        <x:v>Hanna</x:v>
      </x:c>
      <x:c r="F6" s="30"/>
      <x:c r="G6" s="31"/>
      <x:c r="H6" s="31"/>
      <x:c r="I6" s="31"/>
      <x:c r="J6" s="31"/>
      <x:c r="K6" s="31"/>
      <x:c r="L6" s="31" t="n">
        <x:v>0</x:v>
      </x:c>
      <x:c r="M6" s="32" t="str">
        <x:f>IF(COUNT(G6:K6)&lt;5,"",ROUND(AVERAGE(G6:K6)-MIN(L6,2),2))</x:f>
      </x:c>
      <x:c r="N6" s="30" t="str">
        <x:f>IF(M6="","",IF(L6&gt;0,"Fail",IF(M6&gt;=4,"Pass",IF(M6&gt;=3,"Check","Fail"))))</x:f>
      </x:c>
    </x:row>
    <x:row r="7" ht="38" customHeight="1">
      <x:c r="A7" s="30" t="str">
        <x:v>T-003</x:v>
      </x:c>
      <x:c r="B7" s="30" t="str"/>
      <x:c r="C7" s="30" t="str"/>
      <x:c r="D7" s="30" t="str"/>
      <x:c r="E7" s="30" t="str"/>
      <x:c r="F7" s="30"/>
      <x:c r="G7" s="31"/>
      <x:c r="H7" s="31"/>
      <x:c r="I7" s="31"/>
      <x:c r="J7" s="31"/>
      <x:c r="K7" s="31"/>
      <x:c r="L7" s="31" t="n">
        <x:v>0</x:v>
      </x:c>
      <x:c r="M7" s="32" t="str">
        <x:f>IF(COUNT(G7:K7)&lt;5,"",ROUND(AVERAGE(G7:K7)-MIN(L7,2),2))</x:f>
      </x:c>
      <x:c r="N7" s="30" t="str">
        <x:f>IF(M7="","",IF(L7&gt;0,"Fail",IF(M7&gt;=4,"Pass",IF(M7&gt;=3,"Check","Fail"))))</x:f>
      </x:c>
    </x:row>
    <x:row r="8" ht="38" customHeight="1">
      <x:c r="A8" s="30" t="str">
        <x:v>T-004</x:v>
      </x:c>
      <x:c r="B8" s="30" t="str"/>
      <x:c r="C8" s="30" t="str"/>
      <x:c r="D8" s="30" t="str"/>
      <x:c r="E8" s="30" t="str"/>
      <x:c r="F8" s="30"/>
      <x:c r="G8" s="31"/>
      <x:c r="H8" s="31"/>
      <x:c r="I8" s="31"/>
      <x:c r="J8" s="31"/>
      <x:c r="K8" s="31"/>
      <x:c r="L8" s="31" t="n">
        <x:v>0</x:v>
      </x:c>
      <x:c r="M8" s="32" t="str">
        <x:f>IF(COUNT(G8:K8)&lt;5,"",ROUND(AVERAGE(G8:K8)-MIN(L8,2),2))</x:f>
      </x:c>
      <x:c r="N8" s="30" t="str">
        <x:f>IF(M8="","",IF(L8&gt;0,"Fail",IF(M8&gt;=4,"Pass",IF(M8&gt;=3,"Check","Fail"))))</x:f>
      </x:c>
    </x:row>
    <x:row r="9" ht="38" customHeight="1">
      <x:c r="A9" s="30" t="str">
        <x:v>T-005</x:v>
      </x:c>
      <x:c r="B9" s="30" t="str"/>
      <x:c r="C9" s="30" t="str"/>
      <x:c r="D9" s="30" t="str"/>
      <x:c r="E9" s="30" t="str"/>
      <x:c r="F9" s="30"/>
      <x:c r="G9" s="31"/>
      <x:c r="H9" s="31"/>
      <x:c r="I9" s="31"/>
      <x:c r="J9" s="31"/>
      <x:c r="K9" s="31"/>
      <x:c r="L9" s="31" t="n">
        <x:v>0</x:v>
      </x:c>
      <x:c r="M9" s="32" t="str">
        <x:f>IF(COUNT(G9:K9)&lt;5,"",ROUND(AVERAGE(G9:K9)-MIN(L9,2),2))</x:f>
      </x:c>
      <x:c r="N9" s="30" t="str">
        <x:f>IF(M9="","",IF(L9&gt;0,"Fail",IF(M9&gt;=4,"Pass",IF(M9&gt;=3,"Check","Fail"))))</x:f>
      </x:c>
    </x:row>
    <x:row r="10" ht="38" customHeight="1">
      <x:c r="A10" s="30" t="str">
        <x:v>T-006</x:v>
      </x:c>
      <x:c r="B10" s="30" t="str"/>
      <x:c r="C10" s="30" t="str"/>
      <x:c r="D10" s="30" t="str"/>
      <x:c r="E10" s="30" t="str"/>
      <x:c r="F10" s="30"/>
      <x:c r="G10" s="31"/>
      <x:c r="H10" s="31"/>
      <x:c r="I10" s="31"/>
      <x:c r="J10" s="31"/>
      <x:c r="K10" s="31"/>
      <x:c r="L10" s="31" t="n">
        <x:v>0</x:v>
      </x:c>
      <x:c r="M10" s="32" t="str">
        <x:f>IF(COUNT(G10:K10)&lt;5,"",ROUND(AVERAGE(G10:K10)-MIN(L10,2),2))</x:f>
      </x:c>
      <x:c r="N10" s="30" t="str">
        <x:f>IF(M10="","",IF(L10&gt;0,"Fail",IF(M10&gt;=4,"Pass",IF(M10&gt;=3,"Check","Fail"))))</x:f>
      </x:c>
    </x:row>
    <x:row r="11">
      <x:c r="A11" s="27"/>
      <x:c r="B11" s="27"/>
      <x:c r="C11" s="27"/>
      <x:c r="D11" s="27"/>
      <x:c r="E11" s="27"/>
      <x:c r="F11" s="27"/>
      <x:c r="G11" s="33"/>
      <x:c r="H11" s="33"/>
      <x:c r="I11" s="33"/>
      <x:c r="J11" s="33"/>
      <x:c r="K11" s="33"/>
      <x:c r="L11" s="33"/>
      <x:c r="M11" s="34" t="str">
        <x:f>IF(COUNT(G11:K11)&lt;5,"",ROUND(AVERAGE(G11:K11)-MIN(L11,2),2))</x:f>
      </x:c>
      <x:c r="N11" s="27" t="str">
        <x:f>IF(M11="","",IF(L11&gt;0,"Fail",IF(M11&gt;=4,"Pass",IF(M11&gt;=3,"Check","Fail"))))</x:f>
      </x:c>
    </x:row>
    <x:row r="12">
      <x:c r="A12" s="27"/>
      <x:c r="B12" s="27"/>
      <x:c r="C12" s="27"/>
      <x:c r="D12" s="27"/>
      <x:c r="E12" s="27"/>
      <x:c r="F12" s="27"/>
      <x:c r="G12" s="33"/>
      <x:c r="H12" s="33"/>
      <x:c r="I12" s="33"/>
      <x:c r="J12" s="33"/>
      <x:c r="K12" s="33"/>
      <x:c r="L12" s="33"/>
      <x:c r="M12" s="34" t="str">
        <x:f>IF(COUNT(G12:K12)&lt;5,"",ROUND(AVERAGE(G12:K12)-MIN(L12,2),2))</x:f>
      </x:c>
      <x:c r="N12" s="27" t="str">
        <x:f>IF(M12="","",IF(L12&gt;0,"Fail",IF(M12&gt;=4,"Pass",IF(M12&gt;=3,"Check","Fail"))))</x:f>
      </x:c>
    </x:row>
    <x:row r="13">
      <x:c r="A13" s="27"/>
      <x:c r="B13" s="27"/>
      <x:c r="C13" s="27"/>
      <x:c r="D13" s="27"/>
      <x:c r="E13" s="27"/>
      <x:c r="F13" s="27"/>
      <x:c r="G13" s="33"/>
      <x:c r="H13" s="33"/>
      <x:c r="I13" s="33"/>
      <x:c r="J13" s="33"/>
      <x:c r="K13" s="33"/>
      <x:c r="L13" s="33"/>
      <x:c r="M13" s="34" t="str">
        <x:f>IF(COUNT(G13:K13)&lt;5,"",ROUND(AVERAGE(G13:K13)-MIN(L13,2),2))</x:f>
      </x:c>
      <x:c r="N13" s="27" t="str">
        <x:f>IF(M13="","",IF(L13&gt;0,"Fail",IF(M13&gt;=4,"Pass",IF(M13&gt;=3,"Check","Fail"))))</x:f>
      </x:c>
    </x:row>
    <x:row r="14">
      <x:c r="A14" s="27"/>
      <x:c r="B14" s="27"/>
      <x:c r="C14" s="27"/>
      <x:c r="D14" s="27"/>
      <x:c r="E14" s="27"/>
      <x:c r="F14" s="27"/>
      <x:c r="G14" s="33"/>
      <x:c r="H14" s="33"/>
      <x:c r="I14" s="33"/>
      <x:c r="J14" s="33"/>
      <x:c r="K14" s="33"/>
      <x:c r="L14" s="33"/>
      <x:c r="M14" s="34" t="str">
        <x:f>IF(COUNT(G14:K14)&lt;5,"",ROUND(AVERAGE(G14:K14)-MIN(L14,2),2))</x:f>
      </x:c>
      <x:c r="N14" s="27" t="str">
        <x:f>IF(M14="","",IF(L14&gt;0,"Fail",IF(M14&gt;=4,"Pass",IF(M14&gt;=3,"Check","Fail"))))</x:f>
      </x:c>
    </x:row>
    <x:row r="15">
      <x:c r="A15" s="27"/>
      <x:c r="B15" s="27"/>
      <x:c r="C15" s="27"/>
      <x:c r="D15" s="27"/>
      <x:c r="E15" s="27"/>
      <x:c r="F15" s="27"/>
      <x:c r="G15" s="33"/>
      <x:c r="H15" s="33"/>
      <x:c r="I15" s="33"/>
      <x:c r="J15" s="33"/>
      <x:c r="K15" s="33"/>
      <x:c r="L15" s="33"/>
      <x:c r="M15" s="34" t="str">
        <x:f>IF(COUNT(G15:K15)&lt;5,"",ROUND(AVERAGE(G15:K15)-MIN(L15,2),2))</x:f>
      </x:c>
      <x:c r="N15" s="27" t="str">
        <x:f>IF(M15="","",IF(L15&gt;0,"Fail",IF(M15&gt;=4,"Pass",IF(M15&gt;=3,"Check","Fail"))))</x:f>
      </x:c>
    </x:row>
    <x:row r="16">
      <x:c r="A16" s="27"/>
      <x:c r="B16" s="27"/>
      <x:c r="C16" s="27"/>
      <x:c r="D16" s="27"/>
      <x:c r="E16" s="27"/>
      <x:c r="F16" s="27"/>
      <x:c r="G16" s="33"/>
      <x:c r="H16" s="33"/>
      <x:c r="I16" s="33"/>
      <x:c r="J16" s="33"/>
      <x:c r="K16" s="33"/>
      <x:c r="L16" s="33"/>
      <x:c r="M16" s="34" t="str">
        <x:f>IF(COUNT(G16:K16)&lt;5,"",ROUND(AVERAGE(G16:K16)-MIN(L16,2),2))</x:f>
      </x:c>
      <x:c r="N16" s="27" t="str">
        <x:f>IF(M16="","",IF(L16&gt;0,"Fail",IF(M16&gt;=4,"Pass",IF(M16&gt;=3,"Check","Fail"))))</x:f>
      </x:c>
    </x:row>
    <x:row r="17">
      <x:c r="A17" s="27"/>
      <x:c r="B17" s="27"/>
      <x:c r="C17" s="27"/>
      <x:c r="D17" s="27"/>
      <x:c r="E17" s="27"/>
      <x:c r="F17" s="27"/>
      <x:c r="G17" s="33"/>
      <x:c r="H17" s="33"/>
      <x:c r="I17" s="33"/>
      <x:c r="J17" s="33"/>
      <x:c r="K17" s="33"/>
      <x:c r="L17" s="33"/>
      <x:c r="M17" s="34" t="str">
        <x:f>IF(COUNT(G17:K17)&lt;5,"",ROUND(AVERAGE(G17:K17)-MIN(L17,2),2))</x:f>
      </x:c>
      <x:c r="N17" s="27" t="str">
        <x:f>IF(M17="","",IF(L17&gt;0,"Fail",IF(M17&gt;=4,"Pass",IF(M17&gt;=3,"Check","Fail"))))</x:f>
      </x:c>
    </x:row>
    <x:row r="18">
      <x:c r="A18" s="27"/>
      <x:c r="B18" s="27"/>
      <x:c r="C18" s="27"/>
      <x:c r="D18" s="27"/>
      <x:c r="E18" s="27"/>
      <x:c r="F18" s="27"/>
      <x:c r="G18" s="33"/>
      <x:c r="H18" s="33"/>
      <x:c r="I18" s="33"/>
      <x:c r="J18" s="33"/>
      <x:c r="K18" s="33"/>
      <x:c r="L18" s="33"/>
      <x:c r="M18" s="34" t="str">
        <x:f>IF(COUNT(G18:K18)&lt;5,"",ROUND(AVERAGE(G18:K18)-MIN(L18,2),2))</x:f>
      </x:c>
      <x:c r="N18" s="27" t="str">
        <x:f>IF(M18="","",IF(L18&gt;0,"Fail",IF(M18&gt;=4,"Pass",IF(M18&gt;=3,"Check","Fail"))))</x:f>
      </x:c>
    </x:row>
    <x:row r="19">
      <x:c r="A19" s="27"/>
      <x:c r="B19" s="27"/>
      <x:c r="C19" s="27"/>
      <x:c r="D19" s="27"/>
      <x:c r="E19" s="27"/>
      <x:c r="F19" s="27"/>
      <x:c r="G19" s="33"/>
      <x:c r="H19" s="33"/>
      <x:c r="I19" s="33"/>
      <x:c r="J19" s="33"/>
      <x:c r="K19" s="33"/>
      <x:c r="L19" s="33"/>
      <x:c r="M19" s="34" t="str">
        <x:f>IF(COUNT(G19:K19)&lt;5,"",ROUND(AVERAGE(G19:K19)-MIN(L19,2),2))</x:f>
      </x:c>
      <x:c r="N19" s="27" t="str">
        <x:f>IF(M19="","",IF(L19&gt;0,"Fail",IF(M19&gt;=4,"Pass",IF(M19&gt;=3,"Check","Fail"))))</x:f>
      </x:c>
    </x:row>
    <x:row r="20">
      <x:c r="A20" s="27"/>
      <x:c r="B20" s="27"/>
      <x:c r="C20" s="27"/>
      <x:c r="D20" s="27"/>
      <x:c r="E20" s="27"/>
      <x:c r="F20" s="27"/>
      <x:c r="G20" s="33"/>
      <x:c r="H20" s="33"/>
      <x:c r="I20" s="33"/>
      <x:c r="J20" s="33"/>
      <x:c r="K20" s="33"/>
      <x:c r="L20" s="33"/>
      <x:c r="M20" s="34" t="str">
        <x:f>IF(COUNT(G20:K20)&lt;5,"",ROUND(AVERAGE(G20:K20)-MIN(L20,2),2))</x:f>
      </x:c>
      <x:c r="N20" s="27" t="str">
        <x:f>IF(M20="","",IF(L20&gt;0,"Fail",IF(M20&gt;=4,"Pass",IF(M20&gt;=3,"Check","Fail"))))</x:f>
      </x:c>
    </x:row>
    <x:row r="21">
      <x:c r="A21" s="27"/>
      <x:c r="B21" s="27"/>
      <x:c r="C21" s="27"/>
      <x:c r="D21" s="27"/>
      <x:c r="E21" s="27"/>
      <x:c r="F21" s="27"/>
      <x:c r="G21" s="33"/>
      <x:c r="H21" s="33"/>
      <x:c r="I21" s="33"/>
      <x:c r="J21" s="33"/>
      <x:c r="K21" s="33"/>
      <x:c r="L21" s="33"/>
      <x:c r="M21" s="34" t="str">
        <x:f>IF(COUNT(G21:K21)&lt;5,"",ROUND(AVERAGE(G21:K21)-MIN(L21,2),2))</x:f>
      </x:c>
      <x:c r="N21" s="27" t="str">
        <x:f>IF(M21="","",IF(L21&gt;0,"Fail",IF(M21&gt;=4,"Pass",IF(M21&gt;=3,"Check","Fail"))))</x:f>
      </x:c>
    </x:row>
    <x:row r="22">
      <x:c r="A22" s="27"/>
      <x:c r="B22" s="27"/>
      <x:c r="C22" s="27"/>
      <x:c r="D22" s="27"/>
      <x:c r="E22" s="27"/>
      <x:c r="F22" s="27"/>
      <x:c r="G22" s="33"/>
      <x:c r="H22" s="33"/>
      <x:c r="I22" s="33"/>
      <x:c r="J22" s="33"/>
      <x:c r="K22" s="33"/>
      <x:c r="L22" s="33"/>
      <x:c r="M22" s="34" t="str">
        <x:f>IF(COUNT(G22:K22)&lt;5,"",ROUND(AVERAGE(G22:K22)-MIN(L22,2),2))</x:f>
      </x:c>
      <x:c r="N22" s="27" t="str">
        <x:f>IF(M22="","",IF(L22&gt;0,"Fail",IF(M22&gt;=4,"Pass",IF(M22&gt;=3,"Check","Fail"))))</x:f>
      </x:c>
    </x:row>
    <x:row r="23">
      <x:c r="A23" s="27"/>
      <x:c r="B23" s="27"/>
      <x:c r="C23" s="27"/>
      <x:c r="D23" s="27"/>
      <x:c r="E23" s="27"/>
      <x:c r="F23" s="27"/>
      <x:c r="G23" s="33"/>
      <x:c r="H23" s="33"/>
      <x:c r="I23" s="33"/>
      <x:c r="J23" s="33"/>
      <x:c r="K23" s="33"/>
      <x:c r="L23" s="33"/>
      <x:c r="M23" s="34" t="str">
        <x:f>IF(COUNT(G23:K23)&lt;5,"",ROUND(AVERAGE(G23:K23)-MIN(L23,2),2))</x:f>
      </x:c>
      <x:c r="N23" s="27" t="str">
        <x:f>IF(M23="","",IF(L23&gt;0,"Fail",IF(M23&gt;=4,"Pass",IF(M23&gt;=3,"Check","Fail"))))</x:f>
      </x:c>
    </x:row>
    <x:row r="24">
      <x:c r="A24" s="27"/>
      <x:c r="B24" s="27"/>
      <x:c r="C24" s="27"/>
      <x:c r="D24" s="27"/>
      <x:c r="E24" s="27"/>
      <x:c r="F24" s="27"/>
      <x:c r="G24" s="33"/>
      <x:c r="H24" s="33"/>
      <x:c r="I24" s="33"/>
      <x:c r="J24" s="33"/>
      <x:c r="K24" s="33"/>
      <x:c r="L24" s="33"/>
      <x:c r="M24" s="34" t="str">
        <x:f>IF(COUNT(G24:K24)&lt;5,"",ROUND(AVERAGE(G24:K24)-MIN(L24,2),2))</x:f>
      </x:c>
      <x:c r="N24" s="27" t="str">
        <x:f>IF(M24="","",IF(L24&gt;0,"Fail",IF(M24&gt;=4,"Pass",IF(M24&gt;=3,"Check","Fail"))))</x:f>
      </x:c>
    </x:row>
    <x:row r="25">
      <x:c r="A25" s="27"/>
      <x:c r="B25" s="27"/>
      <x:c r="C25" s="27"/>
      <x:c r="D25" s="27"/>
      <x:c r="E25" s="27"/>
      <x:c r="F25" s="27"/>
      <x:c r="G25" s="33"/>
      <x:c r="H25" s="33"/>
      <x:c r="I25" s="33"/>
      <x:c r="J25" s="33"/>
      <x:c r="K25" s="33"/>
      <x:c r="L25" s="33"/>
      <x:c r="M25" s="34" t="str">
        <x:f>IF(COUNT(G25:K25)&lt;5,"",ROUND(AVERAGE(G25:K25)-MIN(L25,2),2))</x:f>
      </x:c>
      <x:c r="N25" s="27" t="str">
        <x:f>IF(M25="","",IF(L25&gt;0,"Fail",IF(M25&gt;=4,"Pass",IF(M25&gt;=3,"Check","Fail"))))</x:f>
      </x:c>
    </x:row>
    <x:row r="26">
      <x:c r="A26" s="27"/>
      <x:c r="B26" s="27"/>
      <x:c r="C26" s="27"/>
      <x:c r="D26" s="27"/>
      <x:c r="E26" s="27"/>
      <x:c r="F26" s="27"/>
      <x:c r="G26" s="33"/>
      <x:c r="H26" s="33"/>
      <x:c r="I26" s="33"/>
      <x:c r="J26" s="33"/>
      <x:c r="K26" s="33"/>
      <x:c r="L26" s="33"/>
      <x:c r="M26" s="34" t="str">
        <x:f>IF(COUNT(G26:K26)&lt;5,"",ROUND(AVERAGE(G26:K26)-MIN(L26,2),2))</x:f>
      </x:c>
      <x:c r="N26" s="27" t="str">
        <x:f>IF(M26="","",IF(L26&gt;0,"Fail",IF(M26&gt;=4,"Pass",IF(M26&gt;=3,"Check","Fail"))))</x:f>
      </x:c>
    </x:row>
    <x:row r="27">
      <x:c r="A27" s="27"/>
      <x:c r="B27" s="27"/>
      <x:c r="C27" s="27"/>
      <x:c r="D27" s="27"/>
      <x:c r="E27" s="27"/>
      <x:c r="F27" s="27"/>
      <x:c r="G27" s="33"/>
      <x:c r="H27" s="33"/>
      <x:c r="I27" s="33"/>
      <x:c r="J27" s="33"/>
      <x:c r="K27" s="33"/>
      <x:c r="L27" s="33"/>
      <x:c r="M27" s="34" t="str">
        <x:f>IF(COUNT(G27:K27)&lt;5,"",ROUND(AVERAGE(G27:K27)-MIN(L27,2),2))</x:f>
      </x:c>
      <x:c r="N27" s="27" t="str">
        <x:f>IF(M27="","",IF(L27&gt;0,"Fail",IF(M27&gt;=4,"Pass",IF(M27&gt;=3,"Check","Fail"))))</x:f>
      </x:c>
    </x:row>
    <x:row r="28">
      <x:c r="A28" s="27"/>
      <x:c r="B28" s="27"/>
      <x:c r="C28" s="27"/>
      <x:c r="D28" s="27"/>
      <x:c r="E28" s="27"/>
      <x:c r="F28" s="27"/>
      <x:c r="G28" s="33"/>
      <x:c r="H28" s="33"/>
      <x:c r="I28" s="33"/>
      <x:c r="J28" s="33"/>
      <x:c r="K28" s="33"/>
      <x:c r="L28" s="33"/>
      <x:c r="M28" s="34" t="str">
        <x:f>IF(COUNT(G28:K28)&lt;5,"",ROUND(AVERAGE(G28:K28)-MIN(L28,2),2))</x:f>
      </x:c>
      <x:c r="N28" s="27" t="str">
        <x:f>IF(M28="","",IF(L28&gt;0,"Fail",IF(M28&gt;=4,"Pass",IF(M28&gt;=3,"Check","Fail"))))</x:f>
      </x:c>
    </x:row>
    <x:row r="29">
      <x:c r="A29" s="27"/>
      <x:c r="B29" s="27"/>
      <x:c r="C29" s="27"/>
      <x:c r="D29" s="27"/>
      <x:c r="E29" s="27"/>
      <x:c r="F29" s="27"/>
      <x:c r="G29" s="33"/>
      <x:c r="H29" s="33"/>
      <x:c r="I29" s="33"/>
      <x:c r="J29" s="33"/>
      <x:c r="K29" s="33"/>
      <x:c r="L29" s="33"/>
      <x:c r="M29" s="34" t="str">
        <x:f>IF(COUNT(G29:K29)&lt;5,"",ROUND(AVERAGE(G29:K29)-MIN(L29,2),2))</x:f>
      </x:c>
      <x:c r="N29" s="27" t="str">
        <x:f>IF(M29="","",IF(L29&gt;0,"Fail",IF(M29&gt;=4,"Pass",IF(M29&gt;=3,"Check","Fail"))))</x:f>
      </x:c>
    </x:row>
    <x:row r="30">
      <x:c r="A30" s="27"/>
      <x:c r="B30" s="27"/>
      <x:c r="C30" s="27"/>
      <x:c r="D30" s="27"/>
      <x:c r="E30" s="27"/>
      <x:c r="F30" s="27"/>
      <x:c r="G30" s="33"/>
      <x:c r="H30" s="33"/>
      <x:c r="I30" s="33"/>
      <x:c r="J30" s="33"/>
      <x:c r="K30" s="33"/>
      <x:c r="L30" s="33"/>
      <x:c r="M30" s="34" t="str">
        <x:f>IF(COUNT(G30:K30)&lt;5,"",ROUND(AVERAGE(G30:K30)-MIN(L30,2),2))</x:f>
      </x:c>
      <x:c r="N30" s="27" t="str">
        <x:f>IF(M30="","",IF(L30&gt;0,"Fail",IF(M30&gt;=4,"Pass",IF(M30&gt;=3,"Check","Fail"))))</x:f>
      </x:c>
    </x:row>
  </x:sheetData>
  <x:mergeCells>
    <x:mergeCell ref="A1:N1"/>
    <x:mergeCell ref="A2:N2"/>
  </x:mergeCells>
  <x:conditionalFormatting sqref="N5:N30">
    <x:cfRule type="containsText" dxfId="2" priority="1" operator="containsText" text="Pass"/>
    <x:cfRule type="containsText" dxfId="3" priority="2" operator="containsText" text="Fail"/>
  </x:conditionalFormatting>
  <x:dataValidations count="2">
    <x:dataValidation type="whole" operator="between" sqref="G5:K30">
      <x:formula1>1</x:formula1>
      <x:formula2>5</x:formula2>
    </x:dataValidation>
    <x:dataValidation type="whole" operator="between" sqref="L5:L30">
      <x:formula1>0</x:formula1>
      <x:formula2>20</x:formula2>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2" hidden="0" customWidth="1"/>
    <x:col min="3" max="3" width="17" hidden="0" customWidth="1"/>
    <x:col min="4" max="4" width="34" hidden="0" customWidth="1"/>
    <x:col min="5" max="5" width="34" hidden="0" customWidth="1"/>
    <x:col min="6" max="6" width="34" hidden="0" customWidth="1"/>
    <x:col min="7" max="7" width="38" hidden="0" customWidth="1"/>
    <x:col min="8" max="8" width="22" hidden="0" customWidth="1"/>
    <x:col min="9" max="9" width="14" hidden="0" customWidth="1"/>
    <x:col min="10" max="10" width="14" hidden="0" customWidth="1"/>
    <x:col min="11" max="11" width="17" hidden="0" customWidth="1"/>
  </x:cols>
  <x:sheetData>
    <x:row r="1" ht="30" customHeight="1">
      <x:c r="A1" s="26" t="str">
        <x:v>Prompt Change Requests</x:v>
      </x:c>
      <x:c r="B1" s="27"/>
      <x:c r="C1" s="27"/>
      <x:c r="D1" s="27"/>
      <x:c r="E1" s="27"/>
      <x:c r="F1" s="27"/>
      <x:c r="G1" s="27"/>
      <x:c r="H1" s="27"/>
      <x:c r="I1" s="27"/>
      <x:c r="J1" s="27"/>
      <x:c r="K1" s="27"/>
    </x:row>
    <x:row r="2">
      <x:c r="A2" s="28" t="str">
        <x:v>Document the intended change and retest both cases before replacing an approved version.</x:v>
      </x:c>
      <x:c r="B2" s="27"/>
      <x:c r="C2" s="27"/>
      <x:c r="D2" s="27"/>
      <x:c r="E2" s="27"/>
      <x:c r="F2" s="27"/>
      <x:c r="G2" s="27"/>
      <x:c r="H2" s="27"/>
      <x:c r="I2" s="27"/>
      <x:c r="J2" s="27"/>
      <x:c r="K2" s="27"/>
    </x:row>
    <x:row r="3">
      <x:c r="A3" s="27"/>
      <x:c r="B3" s="27"/>
      <x:c r="C3" s="27"/>
      <x:c r="D3" s="27"/>
      <x:c r="E3" s="27"/>
      <x:c r="F3" s="27"/>
      <x:c r="G3" s="27"/>
      <x:c r="H3" s="27"/>
      <x:c r="I3" s="27"/>
      <x:c r="J3" s="27"/>
      <x:c r="K3" s="27"/>
    </x:row>
    <x:row r="4" ht="34" customHeight="1">
      <x:c r="A4" s="29" t="str">
        <x:v>Change ID</x:v>
      </x:c>
      <x:c r="B4" s="29" t="str">
        <x:v>Prompt ID</x:v>
      </x:c>
      <x:c r="C4" s="29" t="str">
        <x:v>Requested by</x:v>
      </x:c>
      <x:c r="D4" s="29" t="str">
        <x:v>Feedback</x:v>
      </x:c>
      <x:c r="E4" s="29" t="str">
        <x:v>Current text</x:v>
      </x:c>
      <x:c r="F4" s="29" t="str">
        <x:v>Proposed text</x:v>
      </x:c>
      <x:c r="G4" s="29" t="str">
        <x:v>Must remain unchanged</x:v>
      </x:c>
      <x:c r="H4" s="29" t="str">
        <x:v>Cases to retest</x:v>
      </x:c>
      <x:c r="I4" s="29" t="str">
        <x:v>Target version</x:v>
      </x:c>
      <x:c r="J4" s="29" t="str">
        <x:v>Decision</x:v>
      </x:c>
      <x:c r="K4" s="29" t="str">
        <x:v>Approver</x:v>
      </x:c>
    </x:row>
    <x:row r="5" ht="70" customHeight="1">
      <x:c r="A5" s="30" t="str">
        <x:v>PCR-001</x:v>
      </x:c>
      <x:c r="B5" s="30" t="str">
        <x:v>BA-03</x:v>
      </x:c>
      <x:c r="C5" s="30" t="str">
        <x:v>Workshop participant</x:v>
      </x:c>
      <x:c r="D5" s="30" t="str">
        <x:v>Add explicit confidence and open-question fields</x:v>
      </x:c>
      <x:c r="E5" s="30" t="str">
        <x:v>Current v0.1 expectations</x:v>
      </x:c>
      <x:c r="F5" s="30" t="str">
        <x:v>Updated expectations only</x:v>
      </x:c>
      <x:c r="G5" s="30" t="str">
        <x:v>Source boundary; non-invention; remaining fields</x:v>
      </x:c>
      <x:c r="H5" s="30" t="str">
        <x:v>Meridian; Harbor</x:v>
      </x:c>
      <x:c r="I5" s="30" t="str">
        <x:v>v1.0</x:v>
      </x:c>
      <x:c r="J5" s="30" t="str">
        <x:v>Proposed</x:v>
      </x:c>
      <x:c r="K5" s="30" t="str"/>
    </x:row>
    <x:row r="6" ht="70" customHeight="1">
      <x:c r="A6" s="30" t="str">
        <x:v>PCR-002</x:v>
      </x:c>
      <x:c r="B6" s="30" t="str"/>
      <x:c r="C6" s="30" t="str"/>
      <x:c r="D6" s="30" t="str"/>
      <x:c r="E6" s="30" t="str"/>
      <x:c r="F6" s="30" t="str"/>
      <x:c r="G6" s="30" t="str"/>
      <x:c r="H6" s="30" t="str"/>
      <x:c r="I6" s="30" t="str"/>
      <x:c r="J6" s="30" t="str"/>
      <x:c r="K6" s="30" t="str"/>
    </x:row>
    <x:row r="7" ht="70" customHeight="1">
      <x:c r="A7" s="30" t="str">
        <x:v>PCR-003</x:v>
      </x:c>
      <x:c r="B7" s="30" t="str"/>
      <x:c r="C7" s="30" t="str"/>
      <x:c r="D7" s="30" t="str"/>
      <x:c r="E7" s="30" t="str"/>
      <x:c r="F7" s="30" t="str"/>
      <x:c r="G7" s="30" t="str"/>
      <x:c r="H7" s="30" t="str"/>
      <x:c r="I7" s="30" t="str"/>
      <x:c r="J7" s="30" t="str"/>
      <x:c r="K7" s="30" t="str"/>
    </x:row>
    <x:row r="8" ht="70" customHeight="1">
      <x:c r="A8" s="30" t="str">
        <x:v>PCR-004</x:v>
      </x:c>
      <x:c r="B8" s="30" t="str"/>
      <x:c r="C8" s="30" t="str"/>
      <x:c r="D8" s="30" t="str"/>
      <x:c r="E8" s="30" t="str"/>
      <x:c r="F8" s="30" t="str"/>
      <x:c r="G8" s="30" t="str"/>
      <x:c r="H8" s="30" t="str"/>
      <x:c r="I8" s="30" t="str"/>
      <x:c r="J8" s="30" t="str"/>
      <x:c r="K8" s="30" t="str"/>
    </x:row>
  </x:sheetData>
  <x:mergeCells>
    <x:mergeCell ref="A1:K1"/>
    <x:mergeCell ref="A2:K2"/>
  </x:mergeCells>
  <x:dataValidations count="1">
    <x:dataValidation type="list" sqref="J5:J20">
      <x:formula1>"Proposed,Approve,Revise,Reject,Roll back"</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15" hidden="0" customWidth="1"/>
    <x:col min="4" max="4" width="15" hidden="0" customWidth="1"/>
    <x:col min="5" max="5" width="13" hidden="0" customWidth="1"/>
    <x:col min="6" max="6" width="28" hidden="0" customWidth="1"/>
    <x:col min="7" max="7" width="55" hidden="0" customWidth="1"/>
    <x:col min="8" max="8" width="18" hidden="0" customWidth="1"/>
    <x:col min="9" max="9" width="13" hidden="0" customWidth="1"/>
  </x:cols>
  <x:sheetData>
    <x:row r="1" ht="30" customHeight="1">
      <x:c r="A1" s="26" t="str">
        <x:v>Version History</x:v>
      </x:c>
      <x:c r="B1" s="27"/>
      <x:c r="C1" s="27"/>
      <x:c r="D1" s="27"/>
      <x:c r="E1" s="27"/>
      <x:c r="F1" s="27"/>
      <x:c r="G1" s="27"/>
      <x:c r="H1" s="27"/>
      <x:c r="I1" s="27"/>
    </x:row>
    <x:row r="2">
      <x:c r="A2" s="28" t="str">
        <x:v>Use Copilot in Excel Edit mode to write approved versions; retain the prior prompt or controlled reference for rollback.</x:v>
      </x:c>
      <x:c r="B2" s="27"/>
      <x:c r="C2" s="27"/>
      <x:c r="D2" s="27"/>
      <x:c r="E2" s="27"/>
      <x:c r="F2" s="27"/>
      <x:c r="G2" s="27"/>
      <x:c r="H2" s="27"/>
      <x:c r="I2" s="27"/>
    </x:row>
    <x:row r="3">
      <x:c r="A3" s="27"/>
      <x:c r="B3" s="27"/>
      <x:c r="C3" s="27"/>
      <x:c r="D3" s="27"/>
      <x:c r="E3" s="27"/>
      <x:c r="F3" s="27"/>
      <x:c r="G3" s="27"/>
      <x:c r="H3" s="27"/>
      <x:c r="I3" s="27"/>
    </x:row>
    <x:row r="4" ht="34" customHeight="1">
      <x:c r="A4" s="29" t="str">
        <x:v>Prompt ID</x:v>
      </x:c>
      <x:c r="B4" s="29" t="str">
        <x:v>Version</x:v>
      </x:c>
      <x:c r="C4" s="29" t="str">
        <x:v>Status</x:v>
      </x:c>
      <x:c r="D4" s="29" t="str">
        <x:v>Effective date</x:v>
      </x:c>
      <x:c r="E4" s="29" t="str">
        <x:v>Change ID</x:v>
      </x:c>
      <x:c r="F4" s="29" t="str">
        <x:v>Summary</x:v>
      </x:c>
      <x:c r="G4" s="29" t="str">
        <x:v>Complete prompt/reference</x:v>
      </x:c>
      <x:c r="H4" s="29" t="str">
        <x:v>Approved by</x:v>
      </x:c>
      <x:c r="I4" s="29" t="str">
        <x:v>Rollback</x:v>
      </x:c>
    </x:row>
    <x:row r="5" ht="55" customHeight="1">
      <x:c r="A5" s="30" t="str">
        <x:v>BA-03</x:v>
      </x:c>
      <x:c r="B5" s="30" t="str">
        <x:v>v0.1</x:v>
      </x:c>
      <x:c r="C5" s="30" t="str">
        <x:v>Draft</x:v>
      </x:c>
      <x:c r="D5" s="35"/>
      <x:c r="E5" s="30" t="str"/>
      <x:c r="F5" s="30" t="str">
        <x:v>Starter prompt</x:v>
      </x:c>
      <x:c r="G5" s="30" t="str">
        <x:v>Prompt Text!B7</x:v>
      </x:c>
      <x:c r="H5" s="30" t="str"/>
      <x:c r="I5" s="30" t="str"/>
    </x:row>
    <x:row r="6" ht="55" customHeight="1">
      <x:c r="A6" s="30" t="str">
        <x:v>BA-03</x:v>
      </x:c>
      <x:c r="B6" s="30" t="str">
        <x:v>v1.0</x:v>
      </x:c>
      <x:c r="C6" s="30" t="str">
        <x:v>Proposed</x:v>
      </x:c>
      <x:c r="D6" s="35"/>
      <x:c r="E6" s="30" t="str">
        <x:v>PCR-001</x:v>
      </x:c>
      <x:c r="F6" s="30" t="str">
        <x:v>Two-case approved version</x:v>
      </x:c>
      <x:c r="G6" s="30" t="str">
        <x:v>Copilot Edit mode: write approved prompt or controlled link</x:v>
      </x:c>
      <x:c r="H6" s="30" t="str"/>
      <x:c r="I6" s="30" t="str">
        <x:v>v0.1</x:v>
      </x:c>
    </x:row>
    <x:row r="7" ht="55" customHeight="1">
      <x:c r="A7" s="30" t="str"/>
      <x:c r="B7" s="30" t="str"/>
      <x:c r="C7" s="30" t="str"/>
      <x:c r="D7" s="35" t="str"/>
      <x:c r="E7" s="30" t="str"/>
      <x:c r="F7" s="30" t="str"/>
      <x:c r="G7" s="30" t="str"/>
      <x:c r="H7" s="30" t="str"/>
      <x:c r="I7" s="30" t="str"/>
    </x:row>
    <x:row r="8" ht="55" customHeight="1">
      <x:c r="A8" s="30" t="str"/>
      <x:c r="B8" s="30" t="str"/>
      <x:c r="C8" s="30" t="str"/>
      <x:c r="D8" s="35" t="str"/>
      <x:c r="E8" s="30" t="str"/>
      <x:c r="F8" s="30" t="str"/>
      <x:c r="G8" s="30" t="str"/>
      <x:c r="H8" s="30" t="str"/>
      <x:c r="I8" s="30" t="str"/>
    </x:row>
    <x:row r="9">
      <x:c r="A9" s="27"/>
      <x:c r="B9" s="27"/>
      <x:c r="C9" s="27"/>
      <x:c r="D9" s="36"/>
      <x:c r="E9" s="27"/>
      <x:c r="F9" s="27"/>
      <x:c r="G9" s="27"/>
      <x:c r="H9" s="27"/>
      <x:c r="I9" s="27"/>
    </x:row>
    <x:row r="10">
      <x:c r="A10" s="27"/>
      <x:c r="B10" s="27"/>
      <x:c r="C10" s="27"/>
      <x:c r="D10" s="36"/>
      <x:c r="E10" s="27"/>
      <x:c r="F10" s="27"/>
      <x:c r="G10" s="27"/>
      <x:c r="H10" s="27"/>
      <x:c r="I10" s="27"/>
    </x:row>
    <x:row r="11">
      <x:c r="A11" s="27"/>
      <x:c r="B11" s="27"/>
      <x:c r="C11" s="27"/>
      <x:c r="D11" s="36"/>
      <x:c r="E11" s="27"/>
      <x:c r="F11" s="27"/>
      <x:c r="G11" s="27"/>
      <x:c r="H11" s="27"/>
      <x:c r="I11" s="27"/>
    </x:row>
    <x:row r="12">
      <x:c r="A12" s="27"/>
      <x:c r="B12" s="27"/>
      <x:c r="C12" s="27"/>
      <x:c r="D12" s="36"/>
      <x:c r="E12" s="27"/>
      <x:c r="F12" s="27"/>
      <x:c r="G12" s="27"/>
      <x:c r="H12" s="27"/>
      <x:c r="I12" s="27"/>
    </x:row>
    <x:row r="13">
      <x:c r="A13" s="27"/>
      <x:c r="B13" s="27"/>
      <x:c r="C13" s="27"/>
      <x:c r="D13" s="36"/>
      <x:c r="E13" s="27"/>
      <x:c r="F13" s="27"/>
      <x:c r="G13" s="27"/>
      <x:c r="H13" s="27"/>
      <x:c r="I13" s="27"/>
    </x:row>
    <x:row r="14">
      <x:c r="A14" s="27"/>
      <x:c r="B14" s="27"/>
      <x:c r="C14" s="27"/>
      <x:c r="D14" s="36"/>
      <x:c r="E14" s="27"/>
      <x:c r="F14" s="27"/>
      <x:c r="G14" s="27"/>
      <x:c r="H14" s="27"/>
      <x:c r="I14" s="27"/>
    </x:row>
    <x:row r="15">
      <x:c r="A15" s="27"/>
      <x:c r="B15" s="27"/>
      <x:c r="C15" s="27"/>
      <x:c r="D15" s="36"/>
      <x:c r="E15" s="27"/>
      <x:c r="F15" s="27"/>
      <x:c r="G15" s="27"/>
      <x:c r="H15" s="27"/>
      <x:c r="I15" s="27"/>
    </x:row>
    <x:row r="16">
      <x:c r="A16" s="27"/>
      <x:c r="B16" s="27"/>
      <x:c r="C16" s="27"/>
      <x:c r="D16" s="36"/>
      <x:c r="E16" s="27"/>
      <x:c r="F16" s="27"/>
      <x:c r="G16" s="27"/>
      <x:c r="H16" s="27"/>
      <x:c r="I16" s="27"/>
    </x:row>
    <x:row r="17">
      <x:c r="A17" s="27"/>
      <x:c r="B17" s="27"/>
      <x:c r="C17" s="27"/>
      <x:c r="D17" s="36"/>
      <x:c r="E17" s="27"/>
      <x:c r="F17" s="27"/>
      <x:c r="G17" s="27"/>
      <x:c r="H17" s="27"/>
      <x:c r="I17" s="27"/>
    </x:row>
    <x:row r="18">
      <x:c r="A18" s="27"/>
      <x:c r="B18" s="27"/>
      <x:c r="C18" s="27"/>
      <x:c r="D18" s="36"/>
      <x:c r="E18" s="27"/>
      <x:c r="F18" s="27"/>
      <x:c r="G18" s="27"/>
      <x:c r="H18" s="27"/>
      <x:c r="I18" s="27"/>
    </x:row>
    <x:row r="19">
      <x:c r="A19" s="27"/>
      <x:c r="B19" s="27"/>
      <x:c r="C19" s="27"/>
      <x:c r="D19" s="36"/>
      <x:c r="E19" s="27"/>
      <x:c r="F19" s="27"/>
      <x:c r="G19" s="27"/>
      <x:c r="H19" s="27"/>
      <x:c r="I19" s="27"/>
    </x:row>
    <x:row r="20">
      <x:c r="A20" s="27"/>
      <x:c r="B20" s="27"/>
      <x:c r="C20" s="27"/>
      <x:c r="D20" s="36"/>
      <x:c r="E20" s="27"/>
      <x:c r="F20" s="27"/>
      <x:c r="G20" s="27"/>
      <x:c r="H20" s="27"/>
      <x:c r="I20" s="27"/>
    </x:row>
  </x:sheetData>
  <x:mergeCells>
    <x:mergeCell ref="A1:I1"/>
    <x:mergeCell ref="A2:I2"/>
  </x:mergeCells>
  <x:dataValidations count="1">
    <x:dataValidation type="list" sqref="C5:C20">
      <x:formula1>"Draft,Tested,Approved,Retired,Rolled back"</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6" hidden="0" customWidth="1"/>
    <x:col min="4" max="4" width="16" hidden="0" customWidth="1"/>
    <x:col min="5" max="5" width="36" hidden="0" customWidth="1"/>
    <x:col min="6" max="6" width="20" hidden="0" customWidth="1"/>
    <x:col min="7" max="7" width="18" hidden="0" customWidth="1"/>
    <x:col min="8" max="8" width="30" hidden="0" customWidth="1"/>
  </x:cols>
  <x:sheetData>
    <x:row r="1" ht="30" customHeight="1">
      <x:c r="A1" s="26" t="str">
        <x:v>Retired Prompts</x:v>
      </x:c>
      <x:c r="B1" s="27"/>
      <x:c r="C1" s="27"/>
      <x:c r="D1" s="27"/>
      <x:c r="E1" s="27"/>
      <x:c r="F1" s="27"/>
      <x:c r="G1" s="27"/>
      <x:c r="H1" s="27"/>
    </x:row>
    <x:row r="2">
      <x:c r="A2" s="28" t="str">
        <x:v>Keep the reason and replacement so users do not reactivate an unsafe or duplicate prompt.</x:v>
      </x:c>
      <x:c r="B2" s="27"/>
      <x:c r="C2" s="27"/>
      <x:c r="D2" s="27"/>
      <x:c r="E2" s="27"/>
      <x:c r="F2" s="27"/>
      <x:c r="G2" s="27"/>
      <x:c r="H2" s="27"/>
    </x:row>
    <x:row r="3">
      <x:c r="A3" s="27"/>
      <x:c r="B3" s="27"/>
      <x:c r="C3" s="27"/>
      <x:c r="D3" s="27"/>
      <x:c r="E3" s="27"/>
      <x:c r="F3" s="27"/>
      <x:c r="G3" s="27"/>
      <x:c r="H3" s="27"/>
    </x:row>
    <x:row r="4" ht="34" customHeight="1">
      <x:c r="A4" s="29" t="str">
        <x:v>Prompt ID</x:v>
      </x:c>
      <x:c r="B4" s="29" t="str">
        <x:v>Title</x:v>
      </x:c>
      <x:c r="C4" s="29" t="str">
        <x:v>Retired version</x:v>
      </x:c>
      <x:c r="D4" s="29" t="str">
        <x:v>Retirement date</x:v>
      </x:c>
      <x:c r="E4" s="29" t="str">
        <x:v>Reason</x:v>
      </x:c>
      <x:c r="F4" s="29" t="str">
        <x:v>Replacement</x:v>
      </x:c>
      <x:c r="G4" s="29" t="str">
        <x:v>Approved by</x:v>
      </x:c>
      <x:c r="H4" s="29" t="str">
        <x:v>Notes</x:v>
      </x:c>
    </x:row>
    <x:row r="5" ht="45" customHeight="1">
      <x:c r="A5" s="30" t="str"/>
      <x:c r="B5" s="30" t="str"/>
      <x:c r="C5" s="30" t="str"/>
      <x:c r="D5" s="35"/>
      <x:c r="E5" s="30" t="str"/>
      <x:c r="F5" s="30" t="str"/>
      <x:c r="G5" s="30" t="str"/>
      <x:c r="H5" s="30" t="str"/>
    </x:row>
    <x:row r="6" ht="45" customHeight="1">
      <x:c r="A6" s="30" t="str"/>
      <x:c r="B6" s="30" t="str"/>
      <x:c r="C6" s="30" t="str"/>
      <x:c r="D6" s="35"/>
      <x:c r="E6" s="30" t="str"/>
      <x:c r="F6" s="30" t="str"/>
      <x:c r="G6" s="30" t="str"/>
      <x:c r="H6" s="30" t="str"/>
    </x:row>
    <x:row r="7" ht="45" customHeight="1">
      <x:c r="A7" s="30" t="str"/>
      <x:c r="B7" s="30" t="str"/>
      <x:c r="C7" s="30" t="str"/>
      <x:c r="D7" s="35"/>
      <x:c r="E7" s="30" t="str"/>
      <x:c r="F7" s="30" t="str"/>
      <x:c r="G7" s="30" t="str"/>
      <x:c r="H7" s="30" t="str"/>
    </x:row>
    <x:row r="8" ht="45" customHeight="1">
      <x:c r="A8" s="30" t="str"/>
      <x:c r="B8" s="30" t="str"/>
      <x:c r="C8" s="30" t="str"/>
      <x:c r="D8" s="35"/>
      <x:c r="E8" s="30" t="str"/>
      <x:c r="F8" s="30" t="str"/>
      <x:c r="G8" s="30" t="str"/>
      <x:c r="H8" s="30" t="str"/>
    </x:row>
    <x:row r="9" ht="45" customHeight="1">
      <x:c r="A9" s="30" t="str"/>
      <x:c r="B9" s="30" t="str"/>
      <x:c r="C9" s="30" t="str"/>
      <x:c r="D9" s="35"/>
      <x:c r="E9" s="30" t="str"/>
      <x:c r="F9" s="30" t="str"/>
      <x:c r="G9" s="30" t="str"/>
      <x:c r="H9" s="30" t="str"/>
    </x:row>
    <x:row r="10" ht="45" customHeight="1">
      <x:c r="A10" s="30" t="str"/>
      <x:c r="B10" s="30" t="str"/>
      <x:c r="C10" s="30" t="str"/>
      <x:c r="D10" s="35"/>
      <x:c r="E10" s="30" t="str"/>
      <x:c r="F10" s="30" t="str"/>
      <x:c r="G10" s="30" t="str"/>
      <x:c r="H10" s="30" t="str"/>
    </x:row>
    <x:row r="11">
      <x:c r="A11" s="27"/>
      <x:c r="B11" s="27"/>
      <x:c r="C11" s="27"/>
      <x:c r="D11" s="36"/>
      <x:c r="E11" s="27"/>
      <x:c r="F11" s="27"/>
      <x:c r="G11" s="27"/>
      <x:c r="H11" s="27"/>
    </x:row>
    <x:row r="12">
      <x:c r="A12" s="27"/>
      <x:c r="B12" s="27"/>
      <x:c r="C12" s="27"/>
      <x:c r="D12" s="36"/>
      <x:c r="E12" s="27"/>
      <x:c r="F12" s="27"/>
      <x:c r="G12" s="27"/>
      <x:c r="H12" s="27"/>
    </x:row>
    <x:row r="13">
      <x:c r="A13" s="27"/>
      <x:c r="B13" s="27"/>
      <x:c r="C13" s="27"/>
      <x:c r="D13" s="36"/>
      <x:c r="E13" s="27"/>
      <x:c r="F13" s="27"/>
      <x:c r="G13" s="27"/>
      <x:c r="H13" s="27"/>
    </x:row>
    <x:row r="14">
      <x:c r="A14" s="27"/>
      <x:c r="B14" s="27"/>
      <x:c r="C14" s="27"/>
      <x:c r="D14" s="36"/>
      <x:c r="E14" s="27"/>
      <x:c r="F14" s="27"/>
      <x:c r="G14" s="27"/>
      <x:c r="H14" s="27"/>
    </x:row>
    <x:row r="15">
      <x:c r="A15" s="27"/>
      <x:c r="B15" s="27"/>
      <x:c r="C15" s="27"/>
      <x:c r="D15" s="36"/>
      <x:c r="E15" s="27"/>
      <x:c r="F15" s="27"/>
      <x:c r="G15" s="27"/>
      <x:c r="H15" s="27"/>
    </x:row>
    <x:row r="16">
      <x:c r="A16" s="27"/>
      <x:c r="B16" s="27"/>
      <x:c r="C16" s="27"/>
      <x:c r="D16" s="36"/>
      <x:c r="E16" s="27"/>
      <x:c r="F16" s="27"/>
      <x:c r="G16" s="27"/>
      <x:c r="H16" s="27"/>
    </x:row>
    <x:row r="17">
      <x:c r="A17" s="27"/>
      <x:c r="B17" s="27"/>
      <x:c r="C17" s="27"/>
      <x:c r="D17" s="36"/>
      <x:c r="E17" s="27"/>
      <x:c r="F17" s="27"/>
      <x:c r="G17" s="27"/>
      <x:c r="H17" s="27"/>
    </x:row>
    <x:row r="18">
      <x:c r="A18" s="27"/>
      <x:c r="B18" s="27"/>
      <x:c r="C18" s="27"/>
      <x:c r="D18" s="36"/>
      <x:c r="E18" s="27"/>
      <x:c r="F18" s="27"/>
      <x:c r="G18" s="27"/>
      <x:c r="H18" s="27"/>
    </x:row>
    <x:row r="19">
      <x:c r="A19" s="27"/>
      <x:c r="B19" s="27"/>
      <x:c r="C19" s="27"/>
      <x:c r="D19" s="36"/>
      <x:c r="E19" s="27"/>
      <x:c r="F19" s="27"/>
      <x:c r="G19" s="27"/>
      <x:c r="H19" s="27"/>
    </x:row>
    <x:row r="20">
      <x:c r="A20" s="27"/>
      <x:c r="B20" s="27"/>
      <x:c r="C20" s="27"/>
      <x:c r="D20" s="36"/>
      <x:c r="E20" s="27"/>
      <x:c r="F20" s="27"/>
      <x:c r="G20" s="27"/>
      <x:c r="H20" s="27"/>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3"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26" t="str">
        <x:v>Prompt Library Dashboard</x:v>
      </x:c>
      <x:c r="B1" s="27"/>
      <x:c r="C1" s="27"/>
      <x:c r="D1" s="27"/>
      <x:c r="E1" s="27"/>
      <x:c r="F1" s="27"/>
      <x:c r="G1" s="27"/>
      <x:c r="H1" s="27"/>
    </x:row>
    <x:row r="2">
      <x:c r="A2" s="28" t="str">
        <x:v>Live controls based on the Prompt Catalogue and Test Log.</x:v>
      </x:c>
      <x:c r="B2" s="27"/>
      <x:c r="C2" s="27"/>
      <x:c r="D2" s="27"/>
      <x:c r="E2" s="27"/>
      <x:c r="F2" s="27"/>
      <x:c r="G2" s="27"/>
      <x:c r="H2" s="27"/>
    </x:row>
    <x:row r="3">
      <x:c r="A3" s="27"/>
      <x:c r="B3" s="27"/>
      <x:c r="C3" s="27"/>
      <x:c r="D3" s="27"/>
      <x:c r="E3" s="27"/>
      <x:c r="F3" s="27"/>
      <x:c r="G3" s="27"/>
      <x:c r="H3" s="27"/>
    </x:row>
    <x:row r="4" ht="34" customHeight="1">
      <x:c r="A4" s="29" t="str">
        <x:v>Metric</x:v>
      </x:c>
      <x:c r="B4" s="29" t="str">
        <x:v>Value</x:v>
      </x:c>
      <x:c r="C4" s="27"/>
      <x:c r="D4" s="37" t="str">
        <x:v>Approval gate</x:v>
      </x:c>
      <x:c r="E4" s="37"/>
      <x:c r="F4" s="37"/>
      <x:c r="G4" s="37"/>
      <x:c r="H4" s="37"/>
    </x:row>
    <x:row r="5">
      <x:c r="A5" s="30" t="str">
        <x:v>Total prompts</x:v>
      </x:c>
      <x:c r="B5" s="30" t="n">
        <x:f>COUNTA('Prompt Catalogue'!A5:A30)</x:f>
        <x:v>12</x:v>
      </x:c>
      <x:c r="C5" s="27"/>
      <x:c r="D5" s="38" t="str">
        <x:v>Approve only when the same reusable prompt passes two different cases, contains no unsupported additions, preserves uncertainty, has no client-specific content and retains a rollback version.</x:v>
      </x:c>
      <x:c r="E5" s="38"/>
      <x:c r="F5" s="38"/>
      <x:c r="G5" s="38"/>
      <x:c r="H5" s="38"/>
    </x:row>
    <x:row r="6">
      <x:c r="A6" s="30" t="str">
        <x:v>Approved</x:v>
      </x:c>
      <x:c r="B6" s="30" t="n">
        <x:f>COUNTIF('Prompt Catalogue'!F5:F30,"Approved")</x:f>
        <x:v>0</x:v>
      </x:c>
      <x:c r="C6" s="27"/>
      <x:c r="D6" s="38"/>
      <x:c r="E6" s="38"/>
      <x:c r="F6" s="38"/>
      <x:c r="G6" s="38"/>
      <x:c r="H6" s="38"/>
    </x:row>
    <x:row r="7">
      <x:c r="A7" s="30" t="str">
        <x:v>Draft or starter</x:v>
      </x:c>
      <x:c r="B7" s="30" t="n">
        <x:f>COUNTIF('Prompt Catalogue'!F5:F30,"Starter - not tested")+COUNTIF('Prompt Catalogue'!F5:F30,"Draft")</x:f>
        <x:v>12</x:v>
      </x:c>
      <x:c r="C7" s="27"/>
      <x:c r="D7" s="38"/>
      <x:c r="E7" s="38"/>
      <x:c r="F7" s="38"/>
      <x:c r="G7" s="38"/>
      <x:c r="H7" s="38"/>
    </x:row>
    <x:row r="8">
      <x:c r="A8" s="30" t="str">
        <x:v>Retired</x:v>
      </x:c>
      <x:c r="B8" s="30" t="n">
        <x:f>COUNTIF('Prompt Catalogue'!F5:F30,"Retired")</x:f>
        <x:v>0</x:v>
      </x:c>
      <x:c r="C8" s="27"/>
      <x:c r="D8" s="38"/>
      <x:c r="E8" s="38"/>
      <x:c r="F8" s="38"/>
      <x:c r="G8" s="38"/>
      <x:c r="H8" s="38"/>
    </x:row>
    <x:row r="9">
      <x:c r="A9" s="30" t="str">
        <x:v>Passed tests</x:v>
      </x:c>
      <x:c r="B9" s="30" t="n">
        <x:f>COUNTIF('Test Log'!N5:N30,"Pass")</x:f>
        <x:v>0</x:v>
      </x:c>
      <x:c r="C9" s="27"/>
      <x:c r="D9" s="38"/>
      <x:c r="E9" s="38"/>
      <x:c r="F9" s="38"/>
      <x:c r="G9" s="38"/>
      <x:c r="H9" s="38"/>
    </x:row>
    <x:row r="10">
      <x:c r="A10" s="30" t="str">
        <x:v>Failed tests</x:v>
      </x:c>
      <x:c r="B10" s="30" t="n">
        <x:f>COUNTIF('Test Log'!N5:N30,"Fail")</x:f>
        <x:v>0</x:v>
      </x:c>
      <x:c r="C10" s="27"/>
      <x:c r="D10" s="38"/>
      <x:c r="E10" s="38"/>
      <x:c r="F10" s="38"/>
      <x:c r="G10" s="38"/>
      <x:c r="H10" s="38"/>
    </x:row>
  </x:sheetData>
  <x:mergeCells>
    <x:mergeCell ref="A1:H1"/>
    <x:mergeCell ref="A2:H2"/>
    <x:mergeCell ref="D4:H4"/>
    <x:mergeCell ref="D5:H10"/>
  </x:mergeCells>
  <x:pageMargins left="0.7" right="0.7" top="0.75" bottom="0.75" header="0.3" footer="0.3"/>
</x:worksheet>
</file>

<file path=xl/worksheets/sheet8.xml><?xml version="1.0" encoding="utf-8"?>
<x:worksheet xmlns:x="http://schemas.openxmlformats.org/spreadsheetml/2006/main">
  <x:sheetFormatPr defaultRowHeight="15"/>
  <x:sheetData>
    <x:row r="1">
      <x:c r="A1" t="str">
        <x:v>Status</x:v>
      </x:c>
      <x:c r="B1" t="str">
        <x:v>Result</x:v>
      </x:c>
    </x:row>
    <x:row r="2">
      <x:c r="A2" t="str">
        <x:v>Starter - not tested</x:v>
      </x:c>
      <x:c r="B2" t="str">
        <x:v>Not tested</x:v>
      </x:c>
    </x:row>
    <x:row r="3">
      <x:c r="A3" t="str">
        <x:v>Draft</x:v>
      </x:c>
      <x:c r="B3" t="str">
        <x:v>Pass</x:v>
      </x:c>
    </x:row>
    <x:row r="4">
      <x:c r="A4" t="str">
        <x:v>Tested</x:v>
      </x:c>
      <x:c r="B4" t="str">
        <x:v>Check</x:v>
      </x:c>
    </x:row>
    <x:row r="5">
      <x:c r="A5" t="str">
        <x:v>Approved</x:v>
      </x:c>
      <x:c r="B5" t="str">
        <x:v>Fail</x:v>
      </x:c>
    </x:row>
    <x:row r="6">
      <x:c r="A6" t="str">
        <x:v>Retired</x:v>
      </x:c>
    </x:row>
  </x:sheetData>
  <x:pageMargins left="0.7" right="0.7" top="0.75" bottom="0.75" header="0.3" footer="0.3"/>
</x:worksheet>
</file>