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64011f8a7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121f661cf45483d"/>
    <x:sheet xmlns:r="http://schemas.openxmlformats.org/officeDocument/2006/relationships" name="Output Scores" sheetId="2" r:id="Ra4d8ca33fdac497c"/>
    <x:sheet xmlns:r="http://schemas.openxmlformats.org/officeDocument/2006/relationships" name="Rule Review" sheetId="3" r:id="R7c5c167186f745e8"/>
    <x:sheet xmlns:r="http://schemas.openxmlformats.org/officeDocument/2006/relationships" name="Change Requests" sheetId="4" r:id="Re73961812d064297"/>
    <x:sheet xmlns:r="http://schemas.openxmlformats.org/officeDocument/2006/relationships" name="Tone Versions" sheetId="5" r:id="R446ffce4e55e401f"/>
    <x:sheet xmlns:r="http://schemas.openxmlformats.org/officeDocument/2006/relationships" name="Before After" sheetId="6" r:id="Rab0506b1c03c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02A4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7A5A00"/>
      <x:name val="Carlito"/>
    </x:font>
    <x:font>
      <x:b/>
      <x:sz val="18"/>
      <x:color rgb="FFFFFFFF"/>
      <x:name val="Aptos"/>
    </x:font>
    <x:font>
      <x:i/>
      <x:sz val="10"/>
      <x:color rgb="FF102A43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  <x:font>
      <x:b/>
      <x:sz val="11"/>
      <x:color rgb="FF7A5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5D6"/>
      </x:patternFill>
    </x:fill>
    <x:fill>
      <x:patternFill patternType="solid">
        <x:fgColor rgb="FFFFFDF2"/>
      </x:patternFill>
    </x:fill>
  </x:fills>
  <x:borders count="8">
    <x:border/>
    <x:border>
      <x:left style="thin">
        <x:color rgb="FFB8CCE6"/>
      </x:left>
      <x:top style="thin">
        <x:color rgb="FFB8CCE6"/>
      </x:top>
    </x:border>
    <x:border>
      <x:top style="thin">
        <x:color rgb="FFB8CCE6"/>
      </x:top>
    </x:border>
    <x:border>
      <x:right style="thin">
        <x:color rgb="FFB8CCE6"/>
      </x:right>
      <x:top style="thin">
        <x:color rgb="FFB8CCE6"/>
      </x:top>
    </x:border>
    <x:border>
      <x:left style="thin">
        <x:color rgb="FFB8CCE6"/>
      </x:left>
      <x:bottom style="thin">
        <x:color rgb="FFB8CCE6"/>
      </x:bottom>
    </x:border>
    <x:border>
      <x:bottom style="thin">
        <x:color rgb="FFB8CCE6"/>
      </x:bottom>
    </x:border>
    <x:border>
      <x:right style="thin">
        <x:color rgb="FFB8CCE6"/>
      </x:right>
      <x:bottom style="thin">
        <x:color rgb="FFB8CCE6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7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top" wrapText="1"/>
    </x:xf>
    <x:xf numFmtId="200" fontId="10" fillId="0" borderId="7" xfId="0" applyNumberFormat="1" applyFont="1" applyFill="1" applyBorder="1" applyAlignment="1">
      <x:alignment vertical="top" wrapText="1"/>
    </x:xf>
    <x:xf numFmtId="201" fontId="10" fillId="0" borderId="7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/>
  </x:cellXfs>
  <x:cellStyles count="1">
    <x:cellStyle name="Normal" xfId="0"/>
  </x:cellStyles>
  <x:dxfs count="13"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C47F00"/>
      </x:font>
      <x:fill>
        <x:patternFill patternType="solid">
          <x:bgColor rgb="FFFFF5D6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C47F00"/>
      </x:font>
      <x:fill>
        <x:patternFill patternType="solid">
          <x:bgColor rgb="FFFFF5D6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  <x:dxf>
      <x:font>
        <x:b/>
        <x:color rgb="FF12715B"/>
      </x:font>
      <x:fill>
        <x:patternFill patternType="solid">
          <x:bgColor rgb="FFE7F6EF"/>
        </x:patternFill>
      </x:fill>
    </x:dxf>
    <x:dxf>
      <x:font>
        <x:b/>
        <x:color rgb="FFA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ca2fc964a48d6" /><Relationship Type="http://schemas.openxmlformats.org/officeDocument/2006/relationships/theme" Target="/xl/theme/theme1.xml" Id="R93b365bc4a344962" /><Relationship Type="http://schemas.openxmlformats.org/officeDocument/2006/relationships/sharedStrings" Target="/xl/sharedStrings.xml" Id="R4db663bb4e5c4349" /><Relationship Type="http://schemas.openxmlformats.org/officeDocument/2006/relationships/worksheet" Target="/xl/worksheets/sheet1.xml" Id="R9121f661cf45483d" /><Relationship Type="http://schemas.openxmlformats.org/officeDocument/2006/relationships/worksheet" Target="/xl/worksheets/sheet2.xml" Id="Ra4d8ca33fdac497c" /><Relationship Type="http://schemas.openxmlformats.org/officeDocument/2006/relationships/worksheet" Target="/xl/worksheets/sheet3.xml" Id="R7c5c167186f745e8" /><Relationship Type="http://schemas.openxmlformats.org/officeDocument/2006/relationships/worksheet" Target="/xl/worksheets/sheet4.xml" Id="Re73961812d064297" /><Relationship Type="http://schemas.openxmlformats.org/officeDocument/2006/relationships/worksheet" Target="/xl/worksheets/sheet5.xml" Id="R446ffce4e55e401f" /><Relationship Type="http://schemas.openxmlformats.org/officeDocument/2006/relationships/worksheet" Target="/xl/worksheets/sheet6.xml" Id="Rab0506b1c03c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3" hidden="0" customWidth="1"/>
    <x:col min="4" max="4" width="15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2" t="str">
        <x:v>Lab 4 - Tone Evaluation and Version Scorecard</x:v>
      </x:c>
      <x:c r="B1" s="33"/>
      <x:c r="C1" s="33"/>
      <x:c r="D1" s="33"/>
      <x:c r="E1" s="33"/>
      <x:c r="F1" s="33"/>
      <x:c r="G1" s="33"/>
      <x:c r="H1" s="34"/>
    </x:row>
    <x:row r="2">
      <x:c r="A2" s="35" t="str">
        <x:v>Use the same Project Atlas facts for every draft. Change one tone parameter at a time.</x:v>
      </x:c>
      <x:c r="B2" s="36"/>
      <x:c r="C2" s="36"/>
      <x:c r="D2" s="36"/>
      <x:c r="E2" s="36"/>
      <x:c r="F2" s="36"/>
      <x:c r="G2" s="36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Step</x:v>
      </x:c>
      <x:c r="B4" s="39" t="str">
        <x:v>What to do</x:v>
      </x:c>
      <x:c r="C4" s="38"/>
      <x:c r="D4" s="38"/>
      <x:c r="E4" s="38"/>
      <x:c r="F4" s="38"/>
      <x:c r="G4" s="38"/>
      <x:c r="H4" s="38"/>
    </x:row>
    <x:row r="5">
      <x:c r="A5" s="40" t="n">
        <x:v>1</x:v>
      </x:c>
      <x:c r="B5" s="40" t="str">
        <x:v>Create and save the baseline before opening the tone samples.</x:v>
      </x:c>
      <x:c r="C5" s="38"/>
      <x:c r="D5" s="38"/>
      <x:c r="E5" s="38"/>
      <x:c r="F5" s="38"/>
      <x:c r="G5" s="38"/>
      <x:c r="H5" s="38"/>
    </x:row>
    <x:row r="6">
      <x:c r="A6" s="40" t="n">
        <x:v>2</x:v>
      </x:c>
      <x:c r="B6" s="40" t="str">
        <x:v>Review candidate rules in Rule Review. Accept, Edit, Reject or mark Insufficient evidence.</x:v>
      </x:c>
      <x:c r="C6" s="38"/>
      <x:c r="D6" s="38"/>
      <x:c r="E6" s="38"/>
      <x:c r="F6" s="38"/>
      <x:c r="G6" s="38"/>
      <x:c r="H6" s="38"/>
    </x:row>
    <x:row r="7">
      <x:c r="A7" s="40" t="n">
        <x:v>3</x:v>
      </x:c>
      <x:c r="B7" s="40" t="str">
        <x:v>Create Tone Profile v1.0 from approved rules only.</x:v>
      </x:c>
      <x:c r="C7" s="38"/>
      <x:c r="D7" s="38"/>
      <x:c r="E7" s="38"/>
      <x:c r="F7" s="38"/>
      <x:c r="G7" s="38"/>
      <x:c r="H7" s="38"/>
    </x:row>
    <x:row r="8">
      <x:c r="A8" s="40" t="n">
        <x:v>4</x:v>
      </x:c>
      <x:c r="B8" s="40" t="str">
        <x:v>Score Baseline, v1.0 and v1.1 in Output Scores using the same case.</x:v>
      </x:c>
      <x:c r="C8" s="38"/>
      <x:c r="D8" s="38"/>
      <x:c r="E8" s="38"/>
      <x:c r="F8" s="38"/>
      <x:c r="G8" s="38"/>
      <x:c r="H8" s="38"/>
    </x:row>
    <x:row r="9">
      <x:c r="A9" s="40" t="n">
        <x:v>5</x:v>
      </x:c>
      <x:c r="B9" s="40" t="str">
        <x:v>Record the one-rule update in Change Requests before editing the profile.</x:v>
      </x:c>
      <x:c r="C9" s="38"/>
      <x:c r="D9" s="38"/>
      <x:c r="E9" s="38"/>
      <x:c r="F9" s="38"/>
      <x:c r="G9" s="38"/>
      <x:c r="H9" s="38"/>
    </x:row>
    <x:row r="10">
      <x:c r="A10" s="40" t="n">
        <x:v>6</x:v>
      </x:c>
      <x:c r="B10" s="40" t="str">
        <x:v>Store the complete approved versions in Tone Versions.</x:v>
      </x:c>
      <x:c r="C10" s="38"/>
      <x:c r="D10" s="38"/>
      <x:c r="E10" s="38"/>
      <x:c r="F10" s="38"/>
      <x:c r="G10" s="38"/>
      <x:c r="H10" s="38"/>
    </x:row>
    <x:row r="11">
      <x:c r="A11" s="40" t="n">
        <x:v>7</x:v>
      </x:c>
      <x:c r="B11" s="40" t="str">
        <x:v>Paste exact before-and-after sentences into Before After and confirm what stayed unchanged.</x:v>
      </x:c>
      <x:c r="C11" s="38"/>
      <x:c r="D11" s="38"/>
      <x:c r="E11" s="38"/>
      <x:c r="F11" s="38"/>
      <x:c r="G11" s="38"/>
      <x:c r="H11" s="38"/>
    </x:row>
    <x:row r="12">
      <x:c r="A12" s="38"/>
      <x:c r="B12" s="38"/>
      <x:c r="C12" s="38"/>
      <x:c r="D12" s="38"/>
      <x:c r="E12" s="38"/>
      <x:c r="F12" s="38"/>
      <x:c r="G12" s="38"/>
      <x:c r="H12" s="38"/>
    </x:row>
    <x:row r="13">
      <x:c r="A13" s="41" t="str">
        <x:v>Scoring scale</x:v>
      </x:c>
      <x:c r="B13" s="41"/>
      <x:c r="C13" s="41"/>
      <x:c r="D13" s="41"/>
      <x:c r="E13" s="41"/>
      <x:c r="F13" s="41"/>
      <x:c r="G13" s="41"/>
      <x:c r="H13" s="41"/>
    </x:row>
    <x:row r="14">
      <x:c r="A14" s="39" t="str">
        <x:v>Score</x:v>
      </x:c>
      <x:c r="B14" s="39" t="str">
        <x:v>Meaning</x:v>
      </x:c>
      <x:c r="C14" s="38"/>
      <x:c r="D14" s="39" t="str">
        <x:v>Decision</x:v>
      </x:c>
      <x:c r="E14" s="39" t="str">
        <x:v>Meaning</x:v>
      </x:c>
      <x:c r="F14" s="38"/>
      <x:c r="G14" s="38"/>
      <x:c r="H14" s="38"/>
    </x:row>
    <x:row r="15">
      <x:c r="A15" s="40" t="n">
        <x:v>1</x:v>
      </x:c>
      <x:c r="B15" s="40" t="str">
        <x:v>Unusable</x:v>
      </x:c>
      <x:c r="C15" s="38"/>
      <x:c r="D15" s="40" t="str">
        <x:v>Approve</x:v>
      </x:c>
      <x:c r="E15" s="40" t="str">
        <x:v>Meets the fixed-case controls</x:v>
      </x:c>
      <x:c r="F15" s="38"/>
      <x:c r="G15" s="38"/>
      <x:c r="H15" s="38"/>
    </x:row>
    <x:row r="16">
      <x:c r="A16" s="40" t="n">
        <x:v>2</x:v>
      </x:c>
      <x:c r="B16" s="40" t="str">
        <x:v>Major revision</x:v>
      </x:c>
      <x:c r="C16" s="38"/>
      <x:c r="D16" s="40" t="str">
        <x:v>Revise</x:v>
      </x:c>
      <x:c r="E16" s="40" t="str">
        <x:v>Useful but one or more controls need work</x:v>
      </x:c>
      <x:c r="F16" s="38"/>
      <x:c r="G16" s="38"/>
      <x:c r="H16" s="38"/>
    </x:row>
    <x:row r="17">
      <x:c r="A17" s="40" t="n">
        <x:v>3</x:v>
      </x:c>
      <x:c r="B17" s="40" t="str">
        <x:v>Usable with revision</x:v>
      </x:c>
      <x:c r="C17" s="38"/>
      <x:c r="D17" s="40" t="str">
        <x:v>Reject</x:v>
      </x:c>
      <x:c r="E17" s="40" t="str">
        <x:v>Unsupported information or material failure</x:v>
      </x:c>
      <x:c r="F17" s="38"/>
      <x:c r="G17" s="38"/>
      <x:c r="H17" s="38"/>
    </x:row>
    <x:row r="18">
      <x:c r="A18" s="40" t="n">
        <x:v>4</x:v>
      </x:c>
      <x:c r="B18" s="40" t="str">
        <x:v>Good; minor edits</x:v>
      </x:c>
      <x:c r="C18" s="38"/>
      <x:c r="D18" s="40" t="str">
        <x:v>Roll back</x:v>
      </x:c>
      <x:c r="E18" s="40" t="str">
        <x:v>Previous profile performs better</x:v>
      </x:c>
      <x:c r="F18" s="38"/>
      <x:c r="G18" s="38"/>
      <x:c r="H18" s="38"/>
    </x:row>
    <x:row r="19">
      <x:c r="A19" s="40" t="n">
        <x:v>5</x:v>
      </x:c>
      <x:c r="B19" s="40" t="str">
        <x:v>Ready with minimal editing</x:v>
      </x:c>
      <x:c r="C19" s="38"/>
      <x:c r="D19" s="38"/>
      <x:c r="E19" s="38"/>
      <x:c r="F19" s="38"/>
      <x:c r="G19" s="38"/>
      <x:c r="H19" s="38"/>
    </x:row>
    <x:row r="20">
      <x:c r="A20" s="42" t="str">
        <x:v>Control rule: a more pleasant draft is not automatically better. Approve a new version only when the intended parameter improves and factual fidelity, clarity, directness and audience fit remain stable or improve.</x:v>
      </x:c>
      <x:c r="B20" s="42"/>
      <x:c r="C20" s="42"/>
      <x:c r="D20" s="42"/>
      <x:c r="E20" s="42"/>
      <x:c r="F20" s="42"/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2:H2"/>
    <x:mergeCell ref="A13:H13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3" hidden="0" customWidth="1"/>
    <x:col min="5" max="5" width="13" hidden="0" customWidth="1"/>
    <x:col min="6" max="6" width="10" hidden="0" customWidth="1"/>
    <x:col min="7" max="7" width="12" hidden="0" customWidth="1"/>
    <x:col min="8" max="8" width="10" hidden="0" customWidth="1"/>
    <x:col min="9" max="9" width="13" hidden="0" customWidth="1"/>
    <x:col min="10" max="10" width="14" hidden="0" customWidth="1"/>
    <x:col min="11" max="11" width="15" hidden="0" customWidth="1"/>
    <x:col min="12" max="12" width="13" hidden="0" customWidth="1"/>
    <x:col min="13" max="13" width="12" hidden="0" customWidth="1"/>
  </x:cols>
  <x:sheetData>
    <x:row r="1">
      <x:c r="A1" s="32" t="str">
        <x:v>Output Scores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4"/>
    </x:row>
    <x:row r="2">
      <x:c r="A2" s="35" t="str">
        <x:v>Enter scores from 1 to 5. Unsupported additions are a count and automatically trigger Reject.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34" customHeight="1">
      <x:c r="A4" s="39" t="str">
        <x:v>Draft ID</x:v>
      </x:c>
      <x:c r="B4" s="39" t="str">
        <x:v>Profile version</x:v>
      </x:c>
      <x:c r="C4" s="39" t="str">
        <x:v>Audience</x:v>
      </x:c>
      <x:c r="D4" s="39" t="str">
        <x:v>Factual fidelity</x:v>
      </x:c>
      <x:c r="E4" s="39" t="str">
        <x:v>Outcome first</x:v>
      </x:c>
      <x:c r="F4" s="39" t="str">
        <x:v>Warmth</x:v>
      </x:c>
      <x:c r="G4" s="39" t="str">
        <x:v>Directness</x:v>
      </x:c>
      <x:c r="H4" s="39" t="str">
        <x:v>Clarity</x:v>
      </x:c>
      <x:c r="I4" s="39" t="str">
        <x:v>Audience fit</x:v>
      </x:c>
      <x:c r="J4" s="39" t="str">
        <x:v>Minimal editing</x:v>
      </x:c>
      <x:c r="K4" s="39" t="str">
        <x:v>Unsupported additions</x:v>
      </x:c>
      <x:c r="L4" s="39" t="str">
        <x:v>Overall score</x:v>
      </x:c>
      <x:c r="M4" s="39" t="str">
        <x:v>Decision</x:v>
      </x:c>
    </x:row>
    <x:row r="5" ht="34" customHeight="1">
      <x:c r="A5" s="40" t="str">
        <x:v>Baseline</x:v>
      </x:c>
      <x:c r="B5" s="40" t="str">
        <x:v>None</x:v>
      </x:c>
      <x:c r="C5" s="40" t="str">
        <x:v>Existing client</x:v>
      </x:c>
      <x:c r="D5" s="43"/>
      <x:c r="E5" s="43"/>
      <x:c r="F5" s="43"/>
      <x:c r="G5" s="43"/>
      <x:c r="H5" s="43"/>
      <x:c r="I5" s="43"/>
      <x:c r="J5" s="43"/>
      <x:c r="K5" s="43" t="n">
        <x:v>0</x:v>
      </x:c>
      <x:c r="L5" s="44" t="str">
        <x:f>IF(COUNT(D5:J5)&lt;7,"",ROUND(AVERAGE(D5:J5)-MIN(K5,2),2))</x:f>
      </x:c>
      <x:c r="M5" s="40" t="str">
        <x:f>IF(L5="","",IF(K5&gt;0,"Reject",IF(L5&gt;=4,"Approve",IF(L5&gt;=3,"Revise","Reject"))))</x:f>
      </x:c>
    </x:row>
    <x:row r="6" ht="34" customHeight="1">
      <x:c r="A6" s="40" t="str">
        <x:v>Tone v1.0</x:v>
      </x:c>
      <x:c r="B6" s="40" t="str">
        <x:v>v1.0</x:v>
      </x:c>
      <x:c r="C6" s="40" t="str">
        <x:v>Existing client</x:v>
      </x:c>
      <x:c r="D6" s="43"/>
      <x:c r="E6" s="43"/>
      <x:c r="F6" s="43"/>
      <x:c r="G6" s="43"/>
      <x:c r="H6" s="43"/>
      <x:c r="I6" s="43"/>
      <x:c r="J6" s="43"/>
      <x:c r="K6" s="43" t="n">
        <x:v>0</x:v>
      </x:c>
      <x:c r="L6" s="44" t="str">
        <x:f>IF(COUNT(D6:J6)&lt;7,"",ROUND(AVERAGE(D6:J6)-MIN(K6,2),2))</x:f>
      </x:c>
      <x:c r="M6" s="40" t="str">
        <x:f>IF(L6="","",IF(K6&gt;0,"Reject",IF(L6&gt;=4,"Approve",IF(L6&gt;=3,"Revise","Reject"))))</x:f>
      </x:c>
    </x:row>
    <x:row r="7" ht="34" customHeight="1">
      <x:c r="A7" s="40" t="str">
        <x:v>Tone v1.1</x:v>
      </x:c>
      <x:c r="B7" s="40" t="str">
        <x:v>v1.1</x:v>
      </x:c>
      <x:c r="C7" s="40" t="str">
        <x:v>Existing client</x:v>
      </x:c>
      <x:c r="D7" s="43"/>
      <x:c r="E7" s="43"/>
      <x:c r="F7" s="43"/>
      <x:c r="G7" s="43"/>
      <x:c r="H7" s="43"/>
      <x:c r="I7" s="43"/>
      <x:c r="J7" s="43"/>
      <x:c r="K7" s="43" t="n">
        <x:v>0</x:v>
      </x:c>
      <x:c r="L7" s="44" t="str">
        <x:f>IF(COUNT(D7:J7)&lt;7,"",ROUND(AVERAGE(D7:J7)-MIN(K7,2),2))</x:f>
      </x:c>
      <x:c r="M7" s="40" t="str">
        <x:f>IF(L7="","",IF(K7&gt;0,"Reject",IF(L7&gt;=4,"Approve",IF(L7&gt;=3,"Revise","Reject"))))</x:f>
      </x:c>
    </x:row>
    <x:row r="8" ht="34" customHeight="1">
      <x:c r="A8" s="40" t="str">
        <x:v>Client test</x:v>
      </x:c>
      <x:c r="B8" s="40" t="str">
        <x:v>v1.1</x:v>
      </x:c>
      <x:c r="C8" s="40" t="str">
        <x:v>Existing client</x:v>
      </x:c>
      <x:c r="D8" s="43"/>
      <x:c r="E8" s="43"/>
      <x:c r="F8" s="43"/>
      <x:c r="G8" s="43"/>
      <x:c r="H8" s="43"/>
      <x:c r="I8" s="43"/>
      <x:c r="J8" s="43"/>
      <x:c r="K8" s="43" t="n">
        <x:v>0</x:v>
      </x:c>
      <x:c r="L8" s="44" t="str">
        <x:f>IF(COUNT(D8:J8)&lt;7,"",ROUND(AVERAGE(D8:J8)-MIN(K8,2),2))</x:f>
      </x:c>
      <x:c r="M8" s="40" t="str">
        <x:f>IF(L8="","",IF(K8&gt;0,"Reject",IF(L8&gt;=4,"Approve",IF(L8&gt;=3,"Revise","Reject"))))</x:f>
      </x:c>
    </x:row>
    <x:row r="9" ht="34" customHeight="1">
      <x:c r="A9" s="40" t="str">
        <x:v>Technical test</x:v>
      </x:c>
      <x:c r="B9" s="40" t="str">
        <x:v>v1.1</x:v>
      </x:c>
      <x:c r="C9" s="40" t="str">
        <x:v>Technical lead</x:v>
      </x:c>
      <x:c r="D9" s="43"/>
      <x:c r="E9" s="43"/>
      <x:c r="F9" s="43"/>
      <x:c r="G9" s="43"/>
      <x:c r="H9" s="43"/>
      <x:c r="I9" s="43"/>
      <x:c r="J9" s="43"/>
      <x:c r="K9" s="43" t="n">
        <x:v>0</x:v>
      </x:c>
      <x:c r="L9" s="44" t="str">
        <x:f>IF(COUNT(D9:J9)&lt;7,"",ROUND(AVERAGE(D9:J9)-MIN(K9,2),2))</x:f>
      </x:c>
      <x:c r="M9" s="40" t="str">
        <x:f>IF(L9="","",IF(K9&gt;0,"Reject",IF(L9&gt;=4,"Approve",IF(L9&gt;=3,"Revise","Reject"))))</x:f>
      </x:c>
    </x:row>
    <x:row r="10" ht="34" customHeight="1">
      <x:c r="A10" s="40" t="str">
        <x:v>Executive test</x:v>
      </x:c>
      <x:c r="B10" s="40" t="str">
        <x:v>v1.1</x:v>
      </x:c>
      <x:c r="C10" s="40" t="str">
        <x:v>Executive sponsor</x:v>
      </x:c>
      <x:c r="D10" s="43"/>
      <x:c r="E10" s="43"/>
      <x:c r="F10" s="43"/>
      <x:c r="G10" s="43"/>
      <x:c r="H10" s="43"/>
      <x:c r="I10" s="43"/>
      <x:c r="J10" s="43"/>
      <x:c r="K10" s="43" t="n">
        <x:v>0</x:v>
      </x:c>
      <x:c r="L10" s="44" t="str">
        <x:f>IF(COUNT(D10:J10)&lt;7,"",ROUND(AVERAGE(D10:J10)-MIN(K10,2),2))</x:f>
      </x:c>
      <x:c r="M10" s="40" t="str">
        <x:f>IF(L10="","",IF(K10&gt;0,"Reject",IF(L10&gt;=4,"Approve",IF(L10&gt;=3,"Revise","Reject"))))</x:f>
      </x:c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</x:row>
    <x:row r="13">
      <x:c r="A13" s="39" t="str">
        <x:v>Summary</x:v>
      </x:c>
      <x:c r="B13" s="39" t="str">
        <x:v>Value</x:v>
      </x:c>
      <x:c r="C13" s="39" t="str">
        <x:v>Expected</x:v>
      </x:c>
      <x:c r="D13" s="39" t="str">
        <x:v>Control</x:v>
      </x:c>
      <x:c r="E13" s="38"/>
      <x:c r="F13" s="38"/>
      <x:c r="G13" s="38"/>
      <x:c r="H13" s="38"/>
      <x:c r="I13" s="38"/>
      <x:c r="J13" s="38"/>
      <x:c r="K13" s="38"/>
      <x:c r="L13" s="38"/>
      <x:c r="M13" s="38"/>
    </x:row>
    <x:row r="14">
      <x:c r="A14" s="40" t="str">
        <x:v>Baseline score</x:v>
      </x:c>
      <x:c r="B14" s="44" t="str">
        <x:f>IF(L5="","",L5)</x:f>
      </x:c>
      <x:c r="C14" s="40" t="str">
        <x:v>Reference only</x:v>
      </x:c>
      <x:c r="D14" s="40" t="str">
        <x:v>Baseline</x:v>
      </x:c>
      <x:c r="E14" s="38"/>
      <x:c r="F14" s="38"/>
      <x:c r="G14" s="38"/>
      <x:c r="H14" s="38"/>
      <x:c r="I14" s="38"/>
      <x:c r="J14" s="38"/>
      <x:c r="K14" s="38"/>
      <x:c r="L14" s="38"/>
      <x:c r="M14" s="38"/>
    </x:row>
    <x:row r="15">
      <x:c r="A15" s="40" t="str">
        <x:v>v1.0 score</x:v>
      </x:c>
      <x:c r="B15" s="44" t="str">
        <x:f>IF(L6="","",L6)</x:f>
      </x:c>
      <x:c r="C15" s="40" t="str">
        <x:v>&gt;= baseline</x:v>
      </x:c>
      <x:c r="D15" s="40" t="str">
        <x:f>IF(OR(B15="",B14=""),"",IF(B15&gt;=B14,"PASS","CHECK"))</x:f>
      </x:c>
      <x:c r="E15" s="38"/>
      <x:c r="F15" s="38"/>
      <x:c r="G15" s="38"/>
      <x:c r="H15" s="38"/>
      <x:c r="I15" s="38"/>
      <x:c r="J15" s="38"/>
      <x:c r="K15" s="38"/>
      <x:c r="L15" s="38"/>
      <x:c r="M15" s="38"/>
    </x:row>
    <x:row r="16">
      <x:c r="A16" s="40" t="str">
        <x:v>v1.1 score</x:v>
      </x:c>
      <x:c r="B16" s="44" t="str">
        <x:f>IF(L7="","",L7)</x:f>
      </x:c>
      <x:c r="C16" s="40" t="str">
        <x:v>&gt;= v1.0</x:v>
      </x:c>
      <x:c r="D16" s="40" t="str">
        <x:f>IF(OR(B16="",B15=""),"",IF(AND(B16&gt;=B15,K7=0),"PASS","CHECK"))</x:f>
      </x:c>
      <x:c r="E16" s="38"/>
      <x:c r="F16" s="38"/>
      <x:c r="G16" s="38"/>
      <x:c r="H16" s="38"/>
      <x:c r="I16" s="38"/>
      <x:c r="J16" s="38"/>
      <x:c r="K16" s="38"/>
      <x:c r="L16" s="38"/>
      <x:c r="M16" s="38"/>
    </x:row>
    <x:row r="17">
      <x:c r="A17" s="40" t="str">
        <x:v>v1.1 change</x:v>
      </x:c>
      <x:c r="B17" s="44" t="str">
        <x:f>IF(OR(L7="",L6=""),"",L7-L6)</x:f>
      </x:c>
      <x:c r="C17" s="40" t="str">
        <x:v>Warmth improves; other dimensions stable</x:v>
      </x:c>
      <x:c r="D17" s="40" t="str">
        <x:f>IF(OR(F7="",F6=""),"",IF(F7&gt;F6,"PASS","CHECK"))</x:f>
      </x:c>
      <x:c r="E17" s="38"/>
      <x:c r="F17" s="38"/>
      <x:c r="G17" s="38"/>
      <x:c r="H17" s="38"/>
      <x:c r="I17" s="38"/>
      <x:c r="J17" s="38"/>
      <x:c r="K17" s="38"/>
      <x:c r="L17" s="38"/>
      <x:c r="M17" s="38"/>
    </x:row>
  </x:sheetData>
  <x:mergeCells>
    <x:mergeCell ref="A1:M1"/>
    <x:mergeCell ref="A2:M2"/>
  </x:mergeCells>
  <x:conditionalFormatting sqref="M5:M10">
    <x:cfRule type="containsText" dxfId="0" priority="1" operator="containsText" text="Approve"/>
    <x:cfRule type="containsText" dxfId="1" priority="2" operator="containsText" text="Revise"/>
    <x:cfRule type="containsText" dxfId="2" priority="3" operator="containsText" text="Reject"/>
  </x:conditionalFormatting>
  <x:conditionalFormatting sqref="D15:D17">
    <x:cfRule type="containsText" dxfId="3" priority="4" operator="containsText" text="PASS"/>
    <x:cfRule type="containsText" dxfId="4" priority="5" operator="containsText" text="CHECK"/>
  </x:conditionalFormatting>
  <x:dataValidations count="2">
    <x:dataValidation type="whole" operator="between" sqref="D5:J10">
      <x:formula1>1</x:formula1>
      <x:formula2>5</x:formula2>
    </x:dataValidation>
    <x:dataValidation type="whole" operator="between" sqref="K5:K10">
      <x:formula1>0</x:formula1>
      <x:formula2>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7" hidden="0" customWidth="1"/>
    <x:col min="4" max="4" width="17" hidden="0" customWidth="1"/>
    <x:col min="5" max="5" width="13" hidden="0" customWidth="1"/>
    <x:col min="6" max="6" width="18" hidden="0" customWidth="1"/>
    <x:col min="7" max="7" width="42" hidden="0" customWidth="1"/>
    <x:col min="8" max="8" width="28" hidden="0" customWidth="1"/>
  </x:cols>
  <x:sheetData>
    <x:row r="1">
      <x:c r="A1" s="32" t="str">
        <x:v>Rule Review</x:v>
      </x:c>
      <x:c r="B1" s="33"/>
      <x:c r="C1" s="33"/>
      <x:c r="D1" s="33"/>
      <x:c r="E1" s="33"/>
      <x:c r="F1" s="33"/>
      <x:c r="G1" s="33"/>
      <x:c r="H1" s="34"/>
    </x:row>
    <x:row r="2">
      <x:c r="A2" s="35" t="str">
        <x:v>Copilot proposes candidate patterns; the human accepts, edits or rejects each rule.</x:v>
      </x:c>
      <x:c r="B2" s="36"/>
      <x:c r="C2" s="36"/>
      <x:c r="D2" s="36"/>
      <x:c r="E2" s="36"/>
      <x:c r="F2" s="36"/>
      <x:c r="G2" s="36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42" customHeight="1">
      <x:c r="A4" s="39" t="str">
        <x:v>Rule ID</x:v>
      </x:c>
      <x:c r="B4" s="39" t="str">
        <x:v>Proposed rule</x:v>
      </x:c>
      <x:c r="C4" s="39" t="str">
        <x:v>Evidence sample 1</x:v>
      </x:c>
      <x:c r="D4" s="39" t="str">
        <x:v>Evidence sample 2</x:v>
      </x:c>
      <x:c r="E4" s="39" t="str">
        <x:v>Confidence</x:v>
      </x:c>
      <x:c r="F4" s="39" t="str">
        <x:v>Human decision</x:v>
      </x:c>
      <x:c r="G4" s="39" t="str">
        <x:v>Approved wording</x:v>
      </x:c>
      <x:c r="H4" s="39" t="str">
        <x:v>Notes</x:v>
      </x:c>
    </x:row>
    <x:row r="5" ht="42" customHeight="1">
      <x:c r="A5" s="40" t="str">
        <x:v>R-01</x:v>
      </x:c>
      <x:c r="B5" s="40" t="str">
        <x:v>Lead with the practical update</x:v>
      </x:c>
      <x:c r="C5" s="40" t="str">
        <x:v>Sample 1</x:v>
      </x:c>
      <x:c r="D5" s="40" t="str">
        <x:v>Sample 3</x:v>
      </x:c>
      <x:c r="E5" s="40" t="str">
        <x:v>Consistent</x:v>
      </x:c>
      <x:c r="F5" s="43" t="str">
        <x:v>Accept</x:v>
      </x:c>
      <x:c r="G5" s="40" t="str">
        <x:v>Lead with the outcome, status or reason for the message</x:v>
      </x:c>
      <x:c r="H5" s="40" t="str"/>
    </x:row>
    <x:row r="6" ht="42" customHeight="1">
      <x:c r="A6" s="40" t="str">
        <x:v>R-02</x:v>
      </x:c>
      <x:c r="B6" s="40" t="str">
        <x:v>Give enough context to explain impact</x:v>
      </x:c>
      <x:c r="C6" s="40" t="str">
        <x:v>Sample 1</x:v>
      </x:c>
      <x:c r="D6" s="40" t="str">
        <x:v>Sample 4</x:v>
      </x:c>
      <x:c r="E6" s="40" t="str">
        <x:v>Consistent</x:v>
      </x:c>
      <x:c r="F6" s="43" t="str">
        <x:v>Accept</x:v>
      </x:c>
      <x:c r="G6" s="40" t="str">
        <x:v>Explain what changed, the practical impact and the next step</x:v>
      </x:c>
      <x:c r="H6" s="40" t="str"/>
    </x:row>
    <x:row r="7" ht="42" customHeight="1">
      <x:c r="A7" s="40" t="str">
        <x:v>R-03</x:v>
      </x:c>
      <x:c r="B7" s="40" t="str">
        <x:v>Always use bullets</x:v>
      </x:c>
      <x:c r="C7" s="40" t="str">
        <x:v>Sample 3</x:v>
      </x:c>
      <x:c r="D7" s="40" t="str">
        <x:v>Not consistent</x:v>
      </x:c>
      <x:c r="E7" s="40" t="str">
        <x:v>Uncertain</x:v>
      </x:c>
      <x:c r="F7" s="43" t="str">
        <x:v>Reject</x:v>
      </x:c>
      <x:c r="G7" s="40" t="str"/>
      <x:c r="H7" s="40" t="str">
        <x:v>Bullets depend on the number of actions</x:v>
      </x:c>
    </x:row>
    <x:row r="8" ht="42" customHeight="1">
      <x:c r="A8" s="40" t="str">
        <x:v>R-04</x:v>
      </x:c>
      <x:c r="B8" s="40" t="str">
        <x:v>Separate facts from recommendations</x:v>
      </x:c>
      <x:c r="C8" s="40" t="str">
        <x:v>Sample 4</x:v>
      </x:c>
      <x:c r="D8" s="40" t="str">
        <x:v>Sample 5</x:v>
      </x:c>
      <x:c r="E8" s="40" t="str">
        <x:v>Consistent</x:v>
      </x:c>
      <x:c r="F8" s="43" t="str">
        <x:v>Accept</x:v>
      </x:c>
      <x:c r="G8" s="40" t="str">
        <x:v>Separate confirmed facts, recommendations and unresolved questions</x:v>
      </x:c>
      <x:c r="H8" s="40" t="str"/>
    </x:row>
    <x:row r="9" ht="42" customHeight="1">
      <x:c r="A9" s="40" t="str">
        <x:v>R-05</x:v>
      </x:c>
      <x:c r="B9" s="40" t="str">
        <x:v>Never use technical words</x:v>
      </x:c>
      <x:c r="C9" s="40" t="str">
        <x:v>Sample 2</x:v>
      </x:c>
      <x:c r="D9" s="40" t="str">
        <x:v>Sample 4</x:v>
      </x:c>
      <x:c r="E9" s="40" t="str">
        <x:v>Uncertain</x:v>
      </x:c>
      <x:c r="F9" s="43" t="str">
        <x:v>Edit</x:v>
      </x:c>
      <x:c r="G9" s="40" t="str">
        <x:v>Use necessary technical terms and explain them for the audience</x:v>
      </x:c>
      <x:c r="H9" s="40" t="str"/>
    </x:row>
    <x:row r="10" ht="42" customHeight="1">
      <x:c r="A10" s="40" t="str">
        <x:v>R-06</x:v>
      </x:c>
      <x:c r="B10" s="40" t="str">
        <x:v>Avoid invented owners and deadlines</x:v>
      </x:c>
      <x:c r="C10" s="40" t="str">
        <x:v>Sample 3</x:v>
      </x:c>
      <x:c r="D10" s="40" t="str">
        <x:v>Sample 8</x:v>
      </x:c>
      <x:c r="E10" s="40" t="str">
        <x:v>Consistent</x:v>
      </x:c>
      <x:c r="F10" s="43" t="str">
        <x:v>Accept</x:v>
      </x:c>
      <x:c r="G10" s="40" t="str">
        <x:v>State owners and deadlines only when confirmed</x:v>
      </x:c>
      <x:c r="H10" s="40" t="str"/>
    </x:row>
    <x:row r="11" ht="42" customHeight="1">
      <x:c r="A11" s="40" t="str">
        <x:v>R-07</x:v>
      </x:c>
      <x:c r="B11" s="40" t="str">
        <x:v>Use a short natural closing</x:v>
      </x:c>
      <x:c r="C11" s="40" t="str">
        <x:v>Sample 1</x:v>
      </x:c>
      <x:c r="D11" s="40" t="str">
        <x:v>Sample 2</x:v>
      </x:c>
      <x:c r="E11" s="40" t="str">
        <x:v>Consistent</x:v>
      </x:c>
      <x:c r="F11" s="43" t="str">
        <x:v>Accept</x:v>
      </x:c>
      <x:c r="G11" s="40" t="str">
        <x:v>End with a natural next step or confirmation request</x:v>
      </x:c>
      <x:c r="H11" s="40" t="str"/>
    </x:row>
    <x:row r="12" ht="42" customHeight="1">
      <x:c r="A12" s="40" t="str">
        <x:v>R-08</x:v>
      </x:c>
      <x:c r="B12" s="40" t="str">
        <x:v>Copy sample openings exactly</x:v>
      </x:c>
      <x:c r="C12" s="40" t="str">
        <x:v>Case-specific</x:v>
      </x:c>
      <x:c r="D12" s="40" t="str">
        <x:v>Case-specific</x:v>
      </x:c>
      <x:c r="E12" s="40" t="str">
        <x:v>Uncertain</x:v>
      </x:c>
      <x:c r="F12" s="43" t="str">
        <x:v>Reject</x:v>
      </x:c>
      <x:c r="G12" s="40" t="str"/>
      <x:c r="H12" s="40" t="str">
        <x:v>Learn the pattern, not exact wording</x:v>
      </x:c>
    </x:row>
  </x:sheetData>
  <x:mergeCells>
    <x:mergeCell ref="A1:H1"/>
    <x:mergeCell ref="A2:H2"/>
  </x:mergeCells>
  <x:conditionalFormatting sqref="F5:F20">
    <x:cfRule type="containsText" dxfId="5" priority="1" operator="containsText" text="Accept"/>
    <x:cfRule type="containsText" dxfId="6" priority="2" operator="containsText" text="Reject"/>
  </x:conditionalFormatting>
  <x:dataValidations count="2">
    <x:dataValidation type="list" sqref="F5:F20">
      <x:formula1>"Accept,Edit,Reject,Insufficient evidence"</x:formula1>
    </x:dataValidation>
    <x:dataValidation type="list" sqref="E5:E20">
      <x:formula1>"Consistent,Uncertain"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33" hidden="0" customWidth="1"/>
    <x:col min="5" max="5" width="42" hidden="0" customWidth="1"/>
    <x:col min="6" max="6" width="42" hidden="0" customWidth="1"/>
    <x:col min="7" max="7" width="28" hidden="0" customWidth="1"/>
    <x:col min="8" max="8" width="28" hidden="0" customWidth="1"/>
    <x:col min="9" max="9" width="22" hidden="0" customWidth="1"/>
    <x:col min="10" max="10" width="16" hidden="0" customWidth="1"/>
    <x:col min="11" max="11" width="14" hidden="0" customWidth="1"/>
    <x:col min="12" max="12" width="18" hidden="0" customWidth="1"/>
  </x:cols>
  <x:sheetData>
    <x:row r="1">
      <x:c r="A1" s="32" t="str">
        <x:v>Tone Change Requests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4"/>
    </x:row>
    <x:row r="2">
      <x:c r="A2" s="35" t="str">
        <x:v>Document the one-rule change before updating the profile.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70" customHeight="1">
      <x:c r="A4" s="39" t="str">
        <x:v>Change ID</x:v>
      </x:c>
      <x:c r="B4" s="39" t="str">
        <x:v>Requested by</x:v>
      </x:c>
      <x:c r="C4" s="39" t="str">
        <x:v>Feedback</x:v>
      </x:c>
      <x:c r="D4" s="39" t="str">
        <x:v>Current rule</x:v>
      </x:c>
      <x:c r="E4" s="39" t="str">
        <x:v>Proposed rule</x:v>
      </x:c>
      <x:c r="F4" s="39" t="str">
        <x:v>Must remain unchanged</x:v>
      </x:c>
      <x:c r="G4" s="39" t="str">
        <x:v>Expected effect</x:v>
      </x:c>
      <x:c r="H4" s="39" t="str">
        <x:v>Unintended risk</x:v>
      </x:c>
      <x:c r="I4" s="39" t="str">
        <x:v>Test case</x:v>
      </x:c>
      <x:c r="J4" s="39" t="str">
        <x:v>Proposed version</x:v>
      </x:c>
      <x:c r="K4" s="39" t="str">
        <x:v>Decision</x:v>
      </x:c>
      <x:c r="L4" s="39" t="str">
        <x:v>Approver</x:v>
      </x:c>
    </x:row>
    <x:row r="5" ht="70" customHeight="1">
      <x:c r="A5" s="40" t="str">
        <x:v>TCR-001</x:v>
      </x:c>
      <x:c r="B5" s="40" t="str">
        <x:v>Workshop stakeholder</x:v>
      </x:c>
      <x:c r="C5" s="40" t="str">
        <x:v>Opening still feels slightly formal for an existing client.</x:v>
      </x:c>
      <x:c r="D5" s="40" t="str">
        <x:v>Begin with a concise explanation of the message purpose.</x:v>
      </x:c>
      <x:c r="E5" s="40" t="str">
        <x:v>For existing clients, begin with a short natural update and close with a brief collaborative invitation when appropriate.</x:v>
      </x:c>
      <x:c r="F5" s="40" t="str">
        <x:v>Facts; length; directness; structure; owner; deadline; purpose</x:v>
      </x:c>
      <x:c r="G5" s="40" t="str">
        <x:v>Warmth of opening and closing increases from 2/5 to 3/5</x:v>
      </x:c>
      <x:c r="H5" s="40" t="str">
        <x:v>May become too casual or add length</x:v>
      </x:c>
      <x:c r="I5" s="40" t="str">
        <x:v>Project Atlas baseline</x:v>
      </x:c>
      <x:c r="J5" s="40" t="str">
        <x:v>v1.1</x:v>
      </x:c>
      <x:c r="K5" s="40" t="str">
        <x:v>Approve</x:v>
      </x:c>
      <x:c r="L5" s="40" t="str"/>
    </x:row>
    <x:row r="6" ht="70" customHeight="1">
      <x:c r="A6" s="40" t="str">
        <x:v>TCR-002</x:v>
      </x:c>
      <x:c r="B6" s="40" t="str"/>
      <x:c r="C6" s="40" t="str"/>
      <x:c r="D6" s="40" t="str"/>
      <x:c r="E6" s="40" t="str"/>
      <x:c r="F6" s="40" t="str"/>
      <x:c r="G6" s="40" t="str"/>
      <x:c r="H6" s="40" t="str"/>
      <x:c r="I6" s="40" t="str"/>
      <x:c r="J6" s="40" t="str"/>
      <x:c r="K6" s="40" t="str"/>
      <x:c r="L6" s="40" t="str"/>
    </x:row>
    <x:row r="7" ht="70" customHeight="1">
      <x:c r="A7" s="40" t="str">
        <x:v>TCR-003</x:v>
      </x:c>
      <x:c r="B7" s="40" t="str"/>
      <x:c r="C7" s="40" t="str"/>
      <x:c r="D7" s="40" t="str"/>
      <x:c r="E7" s="40" t="str"/>
      <x:c r="F7" s="40" t="str"/>
      <x:c r="G7" s="40" t="str"/>
      <x:c r="H7" s="40" t="str"/>
      <x:c r="I7" s="40" t="str"/>
      <x:c r="J7" s="40" t="str"/>
      <x:c r="K7" s="40" t="str"/>
      <x:c r="L7" s="40" t="str"/>
    </x:row>
  </x:sheetData>
  <x:mergeCells>
    <x:mergeCell ref="A1:L1"/>
    <x:mergeCell ref="A2:L2"/>
  </x:mergeCells>
  <x:conditionalFormatting sqref="K5:K20">
    <x:cfRule type="containsText" dxfId="7" priority="1" operator="containsText" text="Approve"/>
    <x:cfRule type="containsText" dxfId="8" priority="2" operator="containsText" text="Roll back"/>
  </x:conditionalFormatting>
  <x:dataValidations count="1">
    <x:dataValidation type="list" sqref="K5:K20">
      <x:formula1>"Proposed,Approve,Revise,Reject,Roll back"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8" hidden="0" customWidth="1"/>
    <x:col min="5" max="5" width="58" hidden="0" customWidth="1"/>
    <x:col min="6" max="6" width="18" hidden="0" customWidth="1"/>
    <x:col min="7" max="7" width="16" hidden="0" customWidth="1"/>
    <x:col min="8" max="8" width="30" hidden="0" customWidth="1"/>
  </x:cols>
  <x:sheetData>
    <x:row r="1">
      <x:c r="A1" s="32" t="str">
        <x:v>Tone Versions</x:v>
      </x:c>
      <x:c r="B1" s="33"/>
      <x:c r="C1" s="33"/>
      <x:c r="D1" s="33"/>
      <x:c r="E1" s="33"/>
      <x:c r="F1" s="33"/>
      <x:c r="G1" s="33"/>
      <x:c r="H1" s="34"/>
    </x:row>
    <x:row r="2">
      <x:c r="A2" s="35" t="str">
        <x:v>Retain the complete prior version so an approved update can be explained or rolled back.</x:v>
      </x:c>
      <x:c r="B2" s="36"/>
      <x:c r="C2" s="36"/>
      <x:c r="D2" s="36"/>
      <x:c r="E2" s="36"/>
      <x:c r="F2" s="36"/>
      <x:c r="G2" s="36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54" customHeight="1">
      <x:c r="A4" s="39" t="str">
        <x:v>Version</x:v>
      </x:c>
      <x:c r="B4" s="39" t="str">
        <x:v>Status</x:v>
      </x:c>
      <x:c r="C4" s="39" t="str">
        <x:v>Effective date</x:v>
      </x:c>
      <x:c r="D4" s="39" t="str">
        <x:v>Rule changed</x:v>
      </x:c>
      <x:c r="E4" s="39" t="str">
        <x:v>Complete instruction or reference</x:v>
      </x:c>
      <x:c r="F4" s="39" t="str">
        <x:v>Approved by</x:v>
      </x:c>
      <x:c r="G4" s="39" t="str">
        <x:v>Rollback target</x:v>
      </x:c>
      <x:c r="H4" s="39" t="str">
        <x:v>Notes</x:v>
      </x:c>
    </x:row>
    <x:row r="5" ht="54" customHeight="1">
      <x:c r="A5" s="40" t="str">
        <x:v>v1.0</x:v>
      </x:c>
      <x:c r="B5" s="40" t="str">
        <x:v>Approved</x:v>
      </x:c>
      <x:c r="C5" s="45"/>
      <x:c r="D5" s="40" t="str">
        <x:v>Initial profile</x:v>
      </x:c>
      <x:c r="E5" s="40" t="str">
        <x:v>Paste the complete approved v1.0 instruction or link to the approved Tone Profile document.</x:v>
      </x:c>
      <x:c r="F5" s="40" t="str"/>
      <x:c r="G5" s="40" t="str"/>
      <x:c r="H5" s="40" t="str">
        <x:v>Baseline profile</x:v>
      </x:c>
    </x:row>
    <x:row r="6" ht="54" customHeight="1">
      <x:c r="A6" s="40" t="str">
        <x:v>v1.1</x:v>
      </x:c>
      <x:c r="B6" s="40" t="str">
        <x:v>Proposed</x:v>
      </x:c>
      <x:c r="C6" s="45"/>
      <x:c r="D6" s="40" t="str">
        <x:v>Opening and closing warmth for existing clients</x:v>
      </x:c>
      <x:c r="E6" s="40" t="str">
        <x:v>Paste the complete v1.1 instruction after TCR-001 is approved.</x:v>
      </x:c>
      <x:c r="F6" s="40" t="str"/>
      <x:c r="G6" s="40" t="str">
        <x:v>v1.0</x:v>
      </x:c>
      <x:c r="H6" s="40" t="str">
        <x:v>Only one rule may differ from v1.0</x:v>
      </x:c>
    </x:row>
    <x:row r="7" ht="54" customHeight="1">
      <x:c r="A7" s="40" t="str">
        <x:v>v1.2</x:v>
      </x:c>
      <x:c r="B7" s="40" t="str">
        <x:v>Not started</x:v>
      </x:c>
      <x:c r="C7" s="45"/>
      <x:c r="D7" s="40" t="str"/>
      <x:c r="E7" s="40" t="str"/>
      <x:c r="F7" s="40" t="str"/>
      <x:c r="G7" s="40" t="str"/>
      <x:c r="H7" s="40" t="str"/>
    </x:row>
    <x:row r="8" ht="54" customHeight="1">
      <x:c r="A8" s="40" t="str">
        <x:v>v2.0</x:v>
      </x:c>
      <x:c r="B8" s="40" t="str">
        <x:v>Not started</x:v>
      </x:c>
      <x:c r="C8" s="45"/>
      <x:c r="D8" s="40" t="str"/>
      <x:c r="E8" s="40" t="str"/>
      <x:c r="F8" s="40" t="str"/>
      <x:c r="G8" s="40" t="str"/>
      <x:c r="H8" s="40" t="str">
        <x:v>Use major version only for substantial voice changes</x:v>
      </x:c>
    </x:row>
    <x:row r="9">
      <x:c r="A9" s="38"/>
      <x:c r="B9" s="38"/>
      <x:c r="C9" s="46"/>
      <x:c r="D9" s="38"/>
      <x:c r="E9" s="38"/>
      <x:c r="F9" s="38"/>
      <x:c r="G9" s="38"/>
      <x:c r="H9" s="38"/>
    </x:row>
    <x:row r="10">
      <x:c r="A10" s="38"/>
      <x:c r="B10" s="38"/>
      <x:c r="C10" s="46"/>
      <x:c r="D10" s="38"/>
      <x:c r="E10" s="38"/>
      <x:c r="F10" s="38"/>
      <x:c r="G10" s="38"/>
      <x:c r="H10" s="38"/>
    </x:row>
    <x:row r="11">
      <x:c r="A11" s="38"/>
      <x:c r="B11" s="38"/>
      <x:c r="C11" s="46"/>
      <x:c r="D11" s="38"/>
      <x:c r="E11" s="38"/>
      <x:c r="F11" s="38"/>
      <x:c r="G11" s="38"/>
      <x:c r="H11" s="38"/>
    </x:row>
    <x:row r="12">
      <x:c r="A12" s="38"/>
      <x:c r="B12" s="38"/>
      <x:c r="C12" s="46"/>
      <x:c r="D12" s="38"/>
      <x:c r="E12" s="38"/>
      <x:c r="F12" s="38"/>
      <x:c r="G12" s="38"/>
      <x:c r="H12" s="38"/>
    </x:row>
    <x:row r="13">
      <x:c r="A13" s="38"/>
      <x:c r="B13" s="38"/>
      <x:c r="C13" s="46"/>
      <x:c r="D13" s="38"/>
      <x:c r="E13" s="38"/>
      <x:c r="F13" s="38"/>
      <x:c r="G13" s="38"/>
      <x:c r="H13" s="38"/>
    </x:row>
    <x:row r="14">
      <x:c r="A14" s="38"/>
      <x:c r="B14" s="38"/>
      <x:c r="C14" s="46"/>
      <x:c r="D14" s="38"/>
      <x:c r="E14" s="38"/>
      <x:c r="F14" s="38"/>
      <x:c r="G14" s="38"/>
      <x:c r="H14" s="38"/>
    </x:row>
    <x:row r="15">
      <x:c r="A15" s="38"/>
      <x:c r="B15" s="38"/>
      <x:c r="C15" s="46"/>
      <x:c r="D15" s="38"/>
      <x:c r="E15" s="38"/>
      <x:c r="F15" s="38"/>
      <x:c r="G15" s="38"/>
      <x:c r="H15" s="38"/>
    </x:row>
    <x:row r="16">
      <x:c r="A16" s="38"/>
      <x:c r="B16" s="38"/>
      <x:c r="C16" s="46"/>
      <x:c r="D16" s="38"/>
      <x:c r="E16" s="38"/>
      <x:c r="F16" s="38"/>
      <x:c r="G16" s="38"/>
      <x:c r="H16" s="38"/>
    </x:row>
    <x:row r="17">
      <x:c r="A17" s="38"/>
      <x:c r="B17" s="38"/>
      <x:c r="C17" s="46"/>
      <x:c r="D17" s="38"/>
      <x:c r="E17" s="38"/>
      <x:c r="F17" s="38"/>
      <x:c r="G17" s="38"/>
      <x:c r="H17" s="38"/>
    </x:row>
    <x:row r="18">
      <x:c r="A18" s="38"/>
      <x:c r="B18" s="38"/>
      <x:c r="C18" s="46"/>
      <x:c r="D18" s="38"/>
      <x:c r="E18" s="38"/>
      <x:c r="F18" s="38"/>
      <x:c r="G18" s="38"/>
      <x:c r="H18" s="38"/>
    </x:row>
    <x:row r="19">
      <x:c r="A19" s="38"/>
      <x:c r="B19" s="38"/>
      <x:c r="C19" s="46"/>
      <x:c r="D19" s="38"/>
      <x:c r="E19" s="38"/>
      <x:c r="F19" s="38"/>
      <x:c r="G19" s="38"/>
      <x:c r="H19" s="38"/>
    </x:row>
    <x:row r="20">
      <x:c r="A20" s="38"/>
      <x:c r="B20" s="38"/>
      <x:c r="C20" s="46"/>
      <x:c r="D20" s="38"/>
      <x:c r="E20" s="38"/>
      <x:c r="F20" s="38"/>
      <x:c r="G20" s="38"/>
      <x:c r="H20" s="38"/>
    </x:row>
  </x:sheetData>
  <x:mergeCells>
    <x:mergeCell ref="A1:H1"/>
    <x:mergeCell ref="A2:H2"/>
  </x:mergeCells>
  <x:conditionalFormatting sqref="B5:B20">
    <x:cfRule type="containsText" dxfId="9" priority="1" operator="containsText" text="Approved"/>
    <x:cfRule type="containsText" dxfId="10" priority="2" operator="containsText" text="Rolled back"/>
  </x:conditionalFormatting>
  <x:dataValidations count="1">
    <x:dataValidation type="list" sqref="B5:B20">
      <x:formula1>"Not started,Proposed,Approved,Retired,Rolled back"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42" hidden="0" customWidth="1"/>
    <x:col min="5" max="5" width="14" hidden="0" customWidth="1"/>
    <x:col min="6" max="6" width="42" hidden="0" customWidth="1"/>
    <x:col min="7" max="7" width="24" hidden="0" customWidth="1"/>
    <x:col min="8" max="8" width="25" hidden="0" customWidth="1"/>
    <x:col min="9" max="9" width="35" hidden="0" customWidth="1"/>
    <x:col min="10" max="10" width="15" hidden="0" customWidth="1"/>
  </x:cols>
  <x:sheetData>
    <x:row r="1">
      <x:c r="A1" s="32" t="str">
        <x:v>Before and After</x:v>
      </x:c>
      <x:c r="B1" s="33"/>
      <x:c r="C1" s="33"/>
      <x:c r="D1" s="33"/>
      <x:c r="E1" s="33"/>
      <x:c r="F1" s="33"/>
      <x:c r="G1" s="33"/>
      <x:c r="H1" s="33"/>
      <x:c r="I1" s="33"/>
      <x:c r="J1" s="34"/>
    </x:row>
    <x:row r="2">
      <x:c r="A2" s="35" t="str">
        <x:v>Paste exact sentences and show what changed, why it changed and what remained fixed.</x:v>
      </x:c>
      <x:c r="B2" s="36"/>
      <x:c r="C2" s="36"/>
      <x:c r="D2" s="36"/>
      <x:c r="E2" s="36"/>
      <x:c r="F2" s="36"/>
      <x:c r="G2" s="36"/>
      <x:c r="H2" s="36"/>
      <x:c r="I2" s="36"/>
      <x:c r="J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70" customHeight="1">
      <x:c r="A4" s="39" t="str">
        <x:v>Comparison ID</x:v>
      </x:c>
      <x:c r="B4" s="39" t="str">
        <x:v>Source facts</x:v>
      </x:c>
      <x:c r="C4" s="39" t="str">
        <x:v>Before version</x:v>
      </x:c>
      <x:c r="D4" s="39" t="str">
        <x:v>Before sentence</x:v>
      </x:c>
      <x:c r="E4" s="39" t="str">
        <x:v>After version</x:v>
      </x:c>
      <x:c r="F4" s="39" t="str">
        <x:v>After sentence</x:v>
      </x:c>
      <x:c r="G4" s="39" t="str">
        <x:v>Parameter changed</x:v>
      </x:c>
      <x:c r="H4" s="39" t="str">
        <x:v>Why</x:v>
      </x:c>
      <x:c r="I4" s="39" t="str">
        <x:v>Unchanged controls</x:v>
      </x:c>
      <x:c r="J4" s="39" t="str">
        <x:v>Human result</x:v>
      </x:c>
    </x:row>
    <x:row r="5" ht="70" customHeight="1">
      <x:c r="A5" s="40" t="str">
        <x:v>C-001</x:v>
      </x:c>
      <x:c r="B5" s="40" t="str">
        <x:v>Project Atlas fixed case</x:v>
      </x:c>
      <x:c r="C5" s="40" t="str">
        <x:v>v1.0</x:v>
      </x:c>
      <x:c r="D5" s="40" t="str">
        <x:v>A quick update on Project Atlas UAT.</x:v>
      </x:c>
      <x:c r="E5" s="40" t="str">
        <x:v>v1.1</x:v>
      </x:c>
      <x:c r="F5" s="40" t="str">
        <x:v>Just a quick update on Project Atlas UAT.</x:v>
      </x:c>
      <x:c r="G5" s="40" t="str">
        <x:v>Opening warmth 2/5 to 3/5</x:v>
      </x:c>
      <x:c r="H5" s="40" t="str">
        <x:v>More natural for an existing client</x:v>
      </x:c>
      <x:c r="I5" s="40" t="str">
        <x:v>Facts; length; directness; owner; deadline</x:v>
      </x:c>
      <x:c r="J5" s="40" t="str"/>
    </x:row>
    <x:row r="6" ht="70" customHeight="1">
      <x:c r="A6" s="40" t="str">
        <x:v>C-002</x:v>
      </x:c>
      <x:c r="B6" s="40" t="str">
        <x:v>Project Atlas fixed case</x:v>
      </x:c>
      <x:c r="C6" s="40" t="str">
        <x:v>v1.0</x:v>
      </x:c>
      <x:c r="D6" s="40" t="str">
        <x:v>Please let me know if you would like us to cover anything else in the readiness update.</x:v>
      </x:c>
      <x:c r="E6" s="40" t="str">
        <x:v>v1.1</x:v>
      </x:c>
      <x:c r="F6" s="40" t="str">
        <x:v>Let me know if there is anything else you would like included in the readiness update.</x:v>
      </x:c>
      <x:c r="G6" s="40" t="str">
        <x:v>Closing warmth 2/5 to 3/5</x:v>
      </x:c>
      <x:c r="H6" s="40" t="str">
        <x:v>Less formal invitation</x:v>
      </x:c>
      <x:c r="I6" s="40" t="str">
        <x:v>Facts; action; purpose</x:v>
      </x:c>
      <x:c r="J6" s="40" t="str"/>
    </x:row>
    <x:row r="7" ht="70" customHeight="1">
      <x:c r="A7" s="40" t="str">
        <x:v>C-003</x:v>
      </x:c>
      <x:c r="B7" s="40" t="str"/>
      <x:c r="C7" s="40" t="str"/>
      <x:c r="D7" s="40" t="str"/>
      <x:c r="E7" s="40" t="str"/>
      <x:c r="F7" s="40" t="str"/>
      <x:c r="G7" s="40" t="str"/>
      <x:c r="H7" s="40" t="str"/>
      <x:c r="I7" s="40" t="str"/>
      <x:c r="J7" s="40" t="str"/>
    </x:row>
    <x:row r="8" ht="70" customHeight="1">
      <x:c r="A8" s="40" t="str">
        <x:v>C-004</x:v>
      </x:c>
      <x:c r="B8" s="40" t="str"/>
      <x:c r="C8" s="40" t="str"/>
      <x:c r="D8" s="40" t="str"/>
      <x:c r="E8" s="40" t="str"/>
      <x:c r="F8" s="40" t="str"/>
      <x:c r="G8" s="40" t="str"/>
      <x:c r="H8" s="40" t="str"/>
      <x:c r="I8" s="40" t="str"/>
      <x:c r="J8" s="40" t="str"/>
    </x:row>
  </x:sheetData>
  <x:mergeCells>
    <x:mergeCell ref="A1:J1"/>
    <x:mergeCell ref="A2:J2"/>
  </x:mergeCells>
  <x:conditionalFormatting sqref="J5:J20">
    <x:cfRule type="containsText" dxfId="11" priority="1" operator="containsText" text="Approve"/>
    <x:cfRule type="containsText" dxfId="12" priority="2" operator="containsText" text="Roll back"/>
  </x:conditionalFormatting>
  <x:dataValidations count="1">
    <x:dataValidation type="list" sqref="J5:J20">
      <x:formula1>"Approve,Revise,Reject,Roll back"</x:formula1>
    </x:dataValidation>
  </x:dataValidations>
  <x:pageMargins left="0.7" right="0.7" top="0.75" bottom="0.75" header="0.3" footer="0.3"/>
</x:worksheet>
</file>