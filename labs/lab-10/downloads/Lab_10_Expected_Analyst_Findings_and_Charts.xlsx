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a13ba4dea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eefd8d3dce84a4e"/>
    <x:sheet xmlns:r="http://schemas.openxmlformats.org/officeDocument/2006/relationships" name="Application Analysis" sheetId="2" r:id="R1876e96410d54d99"/>
    <x:sheet xmlns:r="http://schemas.openxmlformats.org/officeDocument/2006/relationships" name="Timing Analysis" sheetId="3" r:id="Rfd7b31e0de19469d"/>
    <x:sheet xmlns:r="http://schemas.openxmlformats.org/officeDocument/2006/relationships" name="Data Quality" sheetId="4" r:id="Rc13c3081d17644bc"/>
    <x:sheet xmlns:r="http://schemas.openxmlformats.org/officeDocument/2006/relationships" name="Analysis Data" sheetId="5" r:id="R2bd9cde3baea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0.0"/>
    <x:numFmt numFmtId="203" formatCode="€0.00"/>
    <x:numFmt numFmtId="204" formatCode="dd mmm yyyy hh:mm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8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2" fontId="4" fillId="0" borderId="11" xfId="0" applyNumberFormat="1" applyFont="1" applyFill="1" applyBorder="1" applyAlignment="1">
      <x:alignment vertical="top" wrapText="1"/>
    </x:xf>
    <x:xf numFmtId="203" fontId="4" fillId="0" borderId="11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204" fontId="4" fillId="0" borderId="8" xfId="0" applyNumberFormat="1" applyFont="1" applyFill="1" applyBorder="1" applyAlignment="1">
      <x:alignment vertical="top" wrapText="1"/>
    </x:xf>
    <x:xf numFmtId="204" fontId="4" fillId="0" borderId="11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200" fontId="9" fillId="0" borderId="8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201" fontId="9" fillId="0" borderId="5" xfId="0" applyNumberFormat="1" applyFont="1" applyFill="1" applyBorder="1" applyAlignment="1">
      <x:alignment vertical="top" wrapText="1"/>
    </x:xf>
    <x:xf numFmtId="202" fontId="9" fillId="0" borderId="5" xfId="0" applyNumberFormat="1" applyFont="1" applyFill="1" applyBorder="1" applyAlignment="1">
      <x:alignment vertical="top" wrapText="1"/>
    </x:xf>
    <x:xf numFmtId="201" fontId="9" fillId="0" borderId="8" xfId="0" applyNumberFormat="1" applyFont="1" applyFill="1" applyBorder="1" applyAlignment="1">
      <x:alignment vertical="top" wrapText="1"/>
    </x:xf>
    <x:xf numFmtId="202" fontId="9" fillId="0" borderId="8" xfId="0" applyNumberFormat="1" applyFont="1" applyFill="1" applyBorder="1" applyAlignment="1">
      <x:alignment vertical="top" wrapText="1"/>
    </x:xf>
    <x:xf numFmtId="201" fontId="9" fillId="0" borderId="11" xfId="0" applyNumberFormat="1" applyFont="1" applyFill="1" applyBorder="1" applyAlignment="1">
      <x:alignment vertical="top" wrapText="1"/>
    </x:xf>
    <x:xf numFmtId="202" fontId="9" fillId="0" borderId="11" xfId="0" applyNumberFormat="1" applyFont="1" applyFill="1" applyBorder="1" applyAlignment="1">
      <x:alignment vertical="top" wrapText="1"/>
    </x:xf>
    <x:xf numFmtId="203" fontId="9" fillId="0" borderId="11" xfId="0" applyNumberFormat="1" applyFont="1" applyFill="1" applyBorder="1" applyAlignment="1">
      <x:alignment vertical="top" wrapText="1"/>
    </x:xf>
    <x:xf numFmtId="204" fontId="9" fillId="0" borderId="5" xfId="0" applyNumberFormat="1" applyFont="1" applyFill="1" applyBorder="1" applyAlignment="1">
      <x:alignment vertical="top" wrapText="1"/>
    </x:xf>
    <x:xf numFmtId="203" fontId="9" fillId="0" borderId="5" xfId="0" applyNumberFormat="1" applyFont="1" applyFill="1" applyBorder="1" applyAlignment="1">
      <x:alignment vertical="top" wrapText="1"/>
    </x:xf>
    <x:xf numFmtId="204" fontId="9" fillId="0" borderId="8" xfId="0" applyNumberFormat="1" applyFont="1" applyFill="1" applyBorder="1" applyAlignment="1">
      <x:alignment vertical="top" wrapText="1"/>
    </x:xf>
    <x:xf numFmtId="203" fontId="9" fillId="0" borderId="8" xfId="0" applyNumberFormat="1" applyFont="1" applyFill="1" applyBorder="1" applyAlignment="1">
      <x:alignment vertical="top" wrapText="1"/>
    </x:xf>
    <x:xf numFmtId="204" fontId="9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01df2ab554871" /><Relationship Type="http://schemas.openxmlformats.org/officeDocument/2006/relationships/theme" Target="/xl/theme/theme1.xml" Id="Ra76929cd676a42ce" /><Relationship Type="http://schemas.openxmlformats.org/officeDocument/2006/relationships/sharedStrings" Target="/xl/sharedStrings.xml" Id="R4387005d7fce4eae" /><Relationship Type="http://schemas.openxmlformats.org/officeDocument/2006/relationships/worksheet" Target="/xl/worksheets/sheet1.xml" Id="R8eefd8d3dce84a4e" /><Relationship Type="http://schemas.openxmlformats.org/officeDocument/2006/relationships/worksheet" Target="/xl/worksheets/sheet2.xml" Id="R1876e96410d54d99" /><Relationship Type="http://schemas.openxmlformats.org/officeDocument/2006/relationships/worksheet" Target="/xl/worksheets/sheet3.xml" Id="Rfd7b31e0de19469d" /><Relationship Type="http://schemas.openxmlformats.org/officeDocument/2006/relationships/worksheet" Target="/xl/worksheets/sheet4.xml" Id="Rc13c3081d17644bc" /><Relationship Type="http://schemas.openxmlformats.org/officeDocument/2006/relationships/worksheet" Target="/xl/worksheets/sheet5.xml" Id="R2bd9cde3baea44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5dcd2d4c4f4c4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5dcd2d4c4f4c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alysisDataTable" displayName="AnalysisDataTable" ref="A1:Q121" headerRowCount="1" totalsRowCount="0" totalsRowShown="0">
  <x:tableColumns count="17">
    <x:tableColumn id="1" name="Request ID"/>
    <x:tableColumn id="2" name="Received At"/>
    <x:tableColumn id="3" name="Application"/>
    <x:tableColumn id="4" name="Access Type"/>
    <x:tableColumn id="5" name="Classification"/>
    <x:tableColumn id="6" name="Submitted Via"/>
    <x:tableColumn id="7" name="Clarification Minutes"/>
    <x:tableColumn id="8" name="Approval Minutes"/>
    <x:tableColumn id="9" name="Fulfilment Minutes"/>
    <x:tableColumn id="10" name="Completion Minutes"/>
    <x:tableColumn id="11" name="Completion Definition"/>
    <x:tableColumn id="12" name="Manual Interventions"/>
    <x:tableColumn id="13" name="Outcome"/>
    <x:tableColumn id="14" name="Processing Cost EUR"/>
    <x:tableColumn id="15" name="Data Quality Flag"/>
    <x:tableColumn id="16" name="Integration Ready"/>
    <x:tableColumn id="17" name="Integration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a192cdc9ae442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b0a19779d4894b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8" hidden="0" customWidth="1"/>
    <x:col min="4" max="4" width="58" hidden="0" customWidth="1"/>
    <x:col min="5" max="5" width="20" hidden="0" customWidth="1"/>
    <x:col min="6" max="6" width="44" hidden="0" customWidth="1"/>
  </x:cols>
  <x:sheetData>
    <x:row r="1" ht="32" customHeight="1">
      <x:c r="A1" s="60" t="str">
        <x:v>Expected Analyst Findings - Project Nova</x:v>
      </x:c>
      <x:c r="B1" s="60"/>
      <x:c r="C1" s="60"/>
      <x:c r="D1" s="60"/>
      <x:c r="E1" s="60"/>
      <x:c r="F1" s="60"/>
    </x:row>
    <x:row r="2" ht="34" customHeight="1">
      <x:c r="A2" s="61" t="str">
        <x:v>Trainer reference. Figures are derived from the synthetic request dataset and preserve all limitations.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 ht="38" customHeight="1">
      <x:c r="A4" s="63" t="str">
        <x:v>Finding</x:v>
      </x:c>
      <x:c r="B4" s="64" t="str">
        <x:v>Value</x:v>
      </x:c>
      <x:c r="C4" s="64" t="str">
        <x:v>Denominator / rule</x:v>
      </x:c>
      <x:c r="D4" s="64" t="str">
        <x:v>Interpretation</x:v>
      </x:c>
      <x:c r="E4" s="64" t="str">
        <x:v>Status</x:v>
      </x:c>
      <x:c r="F4" s="65" t="str">
        <x:v>Human decision</x:v>
      </x:c>
    </x:row>
    <x:row r="5" ht="52" customHeight="1">
      <x:c r="A5" s="66" t="str">
        <x:v>Total requests</x:v>
      </x:c>
      <x:c r="B5" s="67" t="n">
        <x:v>120</x:v>
      </x:c>
      <x:c r="C5" s="67" t="str">
        <x:v>All dataset rows</x:v>
      </x:c>
      <x:c r="D5" s="67" t="str">
        <x:v>Workload represented in the synthetic sample</x:v>
      </x:c>
      <x:c r="E5" s="67" t="str">
        <x:v>Confirmed</x:v>
      </x:c>
      <x:c r="F5" s="68" t="str">
        <x:v>None</x:v>
      </x:c>
    </x:row>
    <x:row r="6" ht="52" customHeight="1">
      <x:c r="A6" s="69" t="str">
        <x:v>Technically ready apps</x:v>
      </x:c>
      <x:c r="B6" s="70" t="n">
        <x:v>3</x:v>
      </x:c>
      <x:c r="C6" s="70" t="str">
        <x:v>5 applications</x:v>
      </x:c>
      <x:c r="D6" s="70" t="str">
        <x:v>Technical start is possible for a subset</x:v>
      </x:c>
      <x:c r="E6" s="70" t="str">
        <x:v>Confirmed</x:v>
      </x:c>
      <x:c r="F6" s="71" t="str">
        <x:v>Select scope</x:v>
      </x:c>
    </x:row>
    <x:row r="7" ht="52" customHeight="1">
      <x:c r="A7" s="69" t="str">
        <x:v>Ready-app request volume</x:v>
      </x:c>
      <x:c r="B7" s="72" t="n">
        <x:v>46</x:v>
      </x:c>
      <x:c r="C7" s="70" t="str">
        <x:v>120 rows</x:v>
      </x:c>
      <x:c r="D7" s="70" t="str">
        <x:v>Pilot covers only 38.3% of observed volume</x:v>
      </x:c>
      <x:c r="E7" s="70" t="str">
        <x:v>Confirmed</x:v>
      </x:c>
      <x:c r="F7" s="71" t="str">
        <x:v>Is limited coverage acceptable?</x:v>
      </x:c>
    </x:row>
    <x:row r="8" ht="52" customHeight="1">
      <x:c r="A8" s="69" t="str">
        <x:v>Not-ready app volume</x:v>
      </x:c>
      <x:c r="B8" s="72" t="n">
        <x:v>74</x:v>
      </x:c>
      <x:c r="C8" s="70" t="str">
        <x:v>120 rows</x:v>
      </x:c>
      <x:c r="D8" s="70" t="str">
        <x:v>61.7% remains behind unresolved integrations</x:v>
      </x:c>
      <x:c r="E8" s="70" t="str">
        <x:v>Confirmed</x:v>
      </x:c>
      <x:c r="F8" s="71" t="str">
        <x:v>Prioritise remediation</x:v>
      </x:c>
    </x:row>
    <x:row r="9" ht="52" customHeight="1">
      <x:c r="A9" s="69" t="str">
        <x:v>One-business-day target</x:v>
      </x:c>
      <x:c r="B9" s="70" t="str">
        <x:v>Proposed</x:v>
      </x:c>
      <x:c r="C9" s="70" t="str">
        <x:v>&lt;= 480 minutes; valid rows only</x:v>
      </x:c>
      <x:c r="D9" s="70" t="str">
        <x:v>Scenario, not an approved SLA</x:v>
      </x:c>
      <x:c r="E9" s="70" t="str">
        <x:v>Not confirmed</x:v>
      </x:c>
      <x:c r="F9" s="71" t="str">
        <x:v>Approve, change or reject</x:v>
      </x:c>
    </x:row>
    <x:row r="10" ht="52" customHeight="1">
      <x:c r="A10" s="73" t="str">
        <x:v>Data-quality findings</x:v>
      </x:c>
      <x:c r="B10" s="74" t="n">
        <x:v>6</x:v>
      </x:c>
      <x:c r="C10" s="74" t="str">
        <x:v>Defined checks</x:v>
      </x:c>
      <x:c r="D10" s="74" t="str">
        <x:v>KPIs require exclusions and definition decisions</x:v>
      </x:c>
      <x:c r="E10" s="74" t="str">
        <x:v>Confirmed</x:v>
      </x:c>
      <x:c r="F10" s="75" t="str">
        <x:v>Approve remediation rules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8" hidden="0" customWidth="1"/>
    <x:col min="5" max="5" width="55" hidden="0" customWidth="1"/>
    <x:col min="6" max="6" width="20" hidden="0" customWidth="1"/>
    <x:col min="7" max="7" width="20" hidden="0" customWidth="1"/>
    <x:col min="8" max="8" width="45" hidden="0" customWidth="1"/>
  </x:cols>
  <x:sheetData>
    <x:row r="1" ht="32" customHeight="1">
      <x:c r="A1" s="60" t="str">
        <x:v>Application Analysis</x:v>
      </x:c>
      <x:c r="B1" s="60"/>
      <x:c r="C1" s="60"/>
      <x:c r="D1" s="60"/>
      <x:c r="E1" s="60"/>
      <x:c r="F1" s="60"/>
      <x:c r="G1" s="60"/>
      <x:c r="H1" s="60"/>
    </x:row>
    <x:row r="2" ht="34" customHeight="1">
      <x:c r="A2" s="61" t="str">
        <x:v>The ready subset is technically feasible but does not represent most observed request volume.</x:v>
      </x:c>
      <x:c r="B2" s="61"/>
      <x:c r="C2" s="61"/>
      <x:c r="D2" s="61"/>
      <x:c r="E2" s="61"/>
      <x:c r="F2" s="61"/>
      <x:c r="G2" s="61"/>
      <x:c r="H2" s="61"/>
    </x:row>
    <x:row r="3">
      <x:c r="A3" s="62"/>
      <x:c r="B3" s="62"/>
      <x:c r="C3" s="62"/>
      <x:c r="D3" s="62"/>
      <x:c r="E3" s="62"/>
      <x:c r="F3" s="62"/>
      <x:c r="G3" s="62"/>
      <x:c r="H3" s="62"/>
    </x:row>
    <x:row r="4" ht="38" customHeight="1">
      <x:c r="A4" s="63" t="str">
        <x:v>Application</x:v>
      </x:c>
      <x:c r="B4" s="64" t="str">
        <x:v>Requests</x:v>
      </x:c>
      <x:c r="C4" s="64" t="str">
        <x:v>Share of total</x:v>
      </x:c>
      <x:c r="D4" s="64" t="str">
        <x:v>Integration ready</x:v>
      </x:c>
      <x:c r="E4" s="64" t="str">
        <x:v>Constraint</x:v>
      </x:c>
      <x:c r="F4" s="64" t="str">
        <x:v>Avg completion min</x:v>
      </x:c>
      <x:c r="G4" s="64" t="str">
        <x:v>Avg interventions</x:v>
      </x:c>
      <x:c r="H4" s="65" t="str">
        <x:v>Decision implication</x:v>
      </x:c>
    </x:row>
    <x:row r="5" ht="52" customHeight="1">
      <x:c r="A5" s="66" t="str">
        <x:v>ServiceNow</x:v>
      </x:c>
      <x:c r="B5" s="67" t="n">
        <x:v>18</x:v>
      </x:c>
      <x:c r="C5" s="76" t="n">
        <x:v>0.15</x:v>
      </x:c>
      <x:c r="D5" s="67" t="str">
        <x:v>Yes</x:v>
      </x:c>
      <x:c r="E5" s="67" t="str">
        <x:v>Approved REST API and sandbox service account</x:v>
      </x:c>
      <x:c r="F5" s="77" t="n">
        <x:f>AVERAGEIF('Analysis Data'!$C$2:$C$121,A5,'Analysis Data'!$J$2:$J$121)</x:f>
        <x:v>259.94444444444446</x:v>
      </x:c>
      <x:c r="G5" s="77" t="n">
        <x:f>AVERAGEIF('Analysis Data'!$C$2:$C$121,A5,'Analysis Data'!$L$2:$L$121)</x:f>
        <x:v>2.5</x:v>
      </x:c>
      <x:c r="H5" s="68" t="str">
        <x:v>Candidate pilot scope</x:v>
      </x:c>
    </x:row>
    <x:row r="6" ht="52" customHeight="1">
      <x:c r="A6" s="69" t="str">
        <x:v>HR Core</x:v>
      </x:c>
      <x:c r="B6" s="70" t="n">
        <x:v>14</x:v>
      </x:c>
      <x:c r="C6" s="78" t="n">
        <x:v>0.11666666666666667</x:v>
      </x:c>
      <x:c r="D6" s="70" t="str">
        <x:v>Yes</x:v>
      </x:c>
      <x:c r="E6" s="70" t="str">
        <x:v>Approved batch API and test tenant</x:v>
      </x:c>
      <x:c r="F6" s="79" t="n">
        <x:f>AVERAGEIF('Analysis Data'!$C$2:$C$121,A6,'Analysis Data'!$J$2:$J$121)</x:f>
        <x:v>297.2307692307692</x:v>
      </x:c>
      <x:c r="G6" s="79" t="n">
        <x:f>AVERAGEIF('Analysis Data'!$C$2:$C$121,A6,'Analysis Data'!$L$2:$L$121)</x:f>
        <x:v>2.5</x:v>
      </x:c>
      <x:c r="H6" s="71" t="str">
        <x:v>Candidate pilot scope</x:v>
      </x:c>
    </x:row>
    <x:row r="7" ht="52" customHeight="1">
      <x:c r="A7" s="69" t="str">
        <x:v>GitHub Enterprise</x:v>
      </x:c>
      <x:c r="B7" s="70" t="n">
        <x:v>14</x:v>
      </x:c>
      <x:c r="C7" s="78" t="n">
        <x:v>0.11666666666666667</x:v>
      </x:c>
      <x:c r="D7" s="70" t="str">
        <x:v>Yes</x:v>
      </x:c>
      <x:c r="E7" s="70" t="str">
        <x:v>Approved enterprise app and test organisation</x:v>
      </x:c>
      <x:c r="F7" s="79" t="n">
        <x:f>AVERAGEIF('Analysis Data'!$C$2:$C$121,A7,'Analysis Data'!$J$2:$J$121)</x:f>
        <x:v>263.14285714285717</x:v>
      </x:c>
      <x:c r="G7" s="79" t="n">
        <x:f>AVERAGEIF('Analysis Data'!$C$2:$C$121,A7,'Analysis Data'!$L$2:$L$121)</x:f>
        <x:v>2.5</x:v>
      </x:c>
      <x:c r="H7" s="71" t="str">
        <x:v>Candidate pilot scope</x:v>
      </x:c>
    </x:row>
    <x:row r="8" ht="52" customHeight="1">
      <x:c r="A8" s="69" t="str">
        <x:v>FinanceHub</x:v>
      </x:c>
      <x:c r="B8" s="70" t="n">
        <x:v>38</x:v>
      </x:c>
      <x:c r="C8" s="78" t="n">
        <x:v>0.31666666666666665</x:v>
      </x:c>
      <x:c r="D8" s="70" t="str">
        <x:v>No</x:v>
      </x:c>
      <x:c r="E8" s="70" t="str">
        <x:v>No approved real-time API; security review open</x:v>
      </x:c>
      <x:c r="F8" s="79" t="n">
        <x:f>AVERAGEIF('Analysis Data'!$C$2:$C$121,A8,'Analysis Data'!$J$2:$J$121)</x:f>
        <x:v>491</x:v>
      </x:c>
      <x:c r="G8" s="79" t="n">
        <x:f>AVERAGEIF('Analysis Data'!$C$2:$C$121,A8,'Analysis Data'!$L$2:$L$121)</x:f>
        <x:v>3.5</x:v>
      </x:c>
      <x:c r="H8" s="71" t="str">
        <x:v>Resolve integration constraint before rollout</x:v>
      </x:c>
    </x:row>
    <x:row r="9" ht="52" customHeight="1">
      <x:c r="A9" s="73" t="str">
        <x:v>Power BI Workspace</x:v>
      </x:c>
      <x:c r="B9" s="74" t="n">
        <x:v>36</x:v>
      </x:c>
      <x:c r="C9" s="80" t="n">
        <x:v>0.3</x:v>
      </x:c>
      <x:c r="D9" s="74" t="str">
        <x:v>No</x:v>
      </x:c>
      <x:c r="E9" s="74" t="str">
        <x:v>Tenant-admin consent and workspace design unresolved</x:v>
      </x:c>
      <x:c r="F9" s="81" t="n">
        <x:f>AVERAGEIF('Analysis Data'!$C$2:$C$121,A9,'Analysis Data'!$J$2:$J$121)</x:f>
        <x:v>441.5</x:v>
      </x:c>
      <x:c r="G9" s="81" t="n">
        <x:f>AVERAGEIF('Analysis Data'!$C$2:$C$121,A9,'Analysis Data'!$L$2:$L$121)</x:f>
        <x:v>3.5</x:v>
      </x:c>
      <x:c r="H9" s="75" t="str">
        <x:v>Resolve integration constraint before rollout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a192cdc9ae4421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4" hidden="0" customWidth="1"/>
    <x:col min="3" max="3" width="18" hidden="0" customWidth="1"/>
    <x:col min="4" max="4" width="34" hidden="0" customWidth="1"/>
    <x:col min="5" max="5" width="38" hidden="0" customWidth="1"/>
    <x:col min="6" max="6" width="20" hidden="0" customWidth="1"/>
    <x:col min="7" max="7" width="50" hidden="0" customWidth="1"/>
  </x:cols>
  <x:sheetData>
    <x:row r="1" ht="32" customHeight="1">
      <x:c r="A1" s="60" t="str">
        <x:v>Timing Analysis</x:v>
      </x:c>
      <x:c r="B1" s="60"/>
      <x:c r="C1" s="60"/>
      <x:c r="D1" s="60"/>
      <x:c r="E1" s="60"/>
      <x:c r="F1" s="60"/>
      <x:c r="G1" s="60"/>
    </x:row>
    <x:row r="2" ht="34" customHeight="1">
      <x:c r="A2" s="61" t="str">
        <x:v>Exclude invalid and missing completion values and disclose the mixed completion definition.</x:v>
      </x:c>
      <x:c r="B2" s="61"/>
      <x:c r="C2" s="61"/>
      <x:c r="D2" s="61"/>
      <x:c r="E2" s="61"/>
      <x:c r="F2" s="61"/>
      <x:c r="G2" s="61"/>
    </x:row>
    <x:row r="3">
      <x:c r="A3" s="62"/>
      <x:c r="B3" s="62"/>
      <x:c r="C3" s="62"/>
      <x:c r="D3" s="62"/>
      <x:c r="E3" s="62"/>
      <x:c r="F3" s="62"/>
      <x:c r="G3" s="62"/>
    </x:row>
    <x:row r="4" ht="38" customHeight="1">
      <x:c r="A4" s="63" t="str">
        <x:v>Measure</x:v>
      </x:c>
      <x:c r="B4" s="64" t="str">
        <x:v>Formula / rule</x:v>
      </x:c>
      <x:c r="C4" s="64" t="str">
        <x:v>Result</x:v>
      </x:c>
      <x:c r="D4" s="64" t="str">
        <x:v>Excluded rows</x:v>
      </x:c>
      <x:c r="E4" s="64" t="str">
        <x:v>Definition issue</x:v>
      </x:c>
      <x:c r="F4" s="64" t="str">
        <x:v>Status</x:v>
      </x:c>
      <x:c r="G4" s="65" t="str">
        <x:v>Interpretation</x:v>
      </x:c>
    </x:row>
    <x:row r="5" ht="56" customHeight="1">
      <x:c r="A5" s="66" t="str">
        <x:v>Valid completion rows</x:v>
      </x:c>
      <x:c r="B5" s="67" t="str">
        <x:v>Completion Minutes &gt;= 0 and not blank</x:v>
      </x:c>
      <x:c r="C5" s="67" t="n">
        <x:f>COUNTIFS('Analysis Data'!J2:J121,"&gt;=0")</x:f>
        <x:v>120</x:v>
      </x:c>
      <x:c r="D5" s="67" t="str">
        <x:v>Negative + blank</x:v>
      </x:c>
      <x:c r="E5" s="67" t="str">
        <x:v>Two completion meanings</x:v>
      </x:c>
      <x:c r="F5" s="67" t="str">
        <x:v>Confirmed</x:v>
      </x:c>
      <x:c r="G5" s="68" t="str">
        <x:v>Use only as directional evidence</x:v>
      </x:c>
    </x:row>
    <x:row r="6" ht="56" customHeight="1">
      <x:c r="A6" s="69" t="str">
        <x:v>Average valid completion minutes</x:v>
      </x:c>
      <x:c r="B6" s="70" t="str">
        <x:v>Average of valid rows</x:v>
      </x:c>
      <x:c r="C6" s="79" t="e">
        <x:f>AVERAGEIFS('Analysis Data'!J2:J121,'Analysis Data'!J2:J121,"&gt;=0")</x:f>
        <x:v>e.reduce is not a function</x:v>
      </x:c>
      <x:c r="D6" s="70" t="str">
        <x:v>Same exclusions</x:v>
      </x:c>
      <x:c r="E6" s="70" t="str">
        <x:v>Same issue</x:v>
      </x:c>
      <x:c r="F6" s="70" t="str">
        <x:v>Confirmed</x:v>
      </x:c>
      <x:c r="G6" s="71" t="str">
        <x:v>Do not present as official SLA performance</x:v>
      </x:c>
    </x:row>
    <x:row r="7" ht="56" customHeight="1">
      <x:c r="A7" s="69" t="str">
        <x:v>Proposed one-day count</x:v>
      </x:c>
      <x:c r="B7" s="70" t="str">
        <x:v>Valid Completion Minutes &lt;= 480</x:v>
      </x:c>
      <x:c r="C7" s="79" t="n">
        <x:f>COUNTIFS('Analysis Data'!J2:J121,"&gt;=0",'Analysis Data'!J2:J121,"&lt;=480")</x:f>
        <x:v>93</x:v>
      </x:c>
      <x:c r="D7" s="70" t="str">
        <x:v>Same exclusions</x:v>
      </x:c>
      <x:c r="E7" s="70" t="str">
        <x:v>Same issue</x:v>
      </x:c>
      <x:c r="F7" s="70" t="str">
        <x:v>Proposed</x:v>
      </x:c>
      <x:c r="G7" s="71" t="str">
        <x:v>Scenario only</x:v>
      </x:c>
    </x:row>
    <x:row r="8" ht="56" customHeight="1">
      <x:c r="A8" s="69" t="str">
        <x:v>Proposed one-day rate</x:v>
      </x:c>
      <x:c r="B8" s="70" t="str">
        <x:v>Count / valid rows</x:v>
      </x:c>
      <x:c r="C8" s="78" t="n">
        <x:f>C7/C5</x:f>
        <x:v>0.775</x:v>
      </x:c>
      <x:c r="D8" s="70" t="str">
        <x:v>Same exclusions</x:v>
      </x:c>
      <x:c r="E8" s="70" t="str">
        <x:v>Same issue</x:v>
      </x:c>
      <x:c r="F8" s="70" t="str">
        <x:v>Proposed</x:v>
      </x:c>
      <x:c r="G8" s="71" t="str">
        <x:v>Not an approved target</x:v>
      </x:c>
    </x:row>
    <x:row r="9" ht="56" customHeight="1">
      <x:c r="A9" s="73" t="str">
        <x:v>Average processing cost</x:v>
      </x:c>
      <x:c r="B9" s="74" t="str">
        <x:v>Average of nonblank cost</x:v>
      </x:c>
      <x:c r="C9" s="82" t="n">
        <x:f>AVERAGE('Analysis Data'!N2:N121)</x:f>
        <x:v>184.98647058823525</x:v>
      </x:c>
      <x:c r="D9" s="74" t="str">
        <x:v>One blank cost</x:v>
      </x:c>
      <x:c r="E9" s="74" t="str">
        <x:v>Synthetic rates</x:v>
      </x:c>
      <x:c r="F9" s="74" t="str">
        <x:v>Workshop estimate</x:v>
      </x:c>
      <x:c r="G9" s="75" t="str">
        <x:v>Directional only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46" hidden="0" customWidth="1"/>
    <x:col min="4" max="4" width="56" hidden="0" customWidth="1"/>
    <x:col min="5" max="5" width="18" hidden="0" customWidth="1"/>
    <x:col min="6" max="6" width="28" hidden="0" customWidth="1"/>
  </x:cols>
  <x:sheetData>
    <x:row r="1" ht="32" customHeight="1">
      <x:c r="A1" s="60" t="str">
        <x:v>Data Quality Findings</x:v>
      </x:c>
      <x:c r="B1" s="60"/>
      <x:c r="C1" s="60"/>
      <x:c r="D1" s="60"/>
      <x:c r="E1" s="60"/>
      <x:c r="F1" s="60"/>
    </x:row>
    <x:row r="2" ht="34" customHeight="1">
      <x:c r="A2" s="61" t="str">
        <x:v>These issues must be resolved or disclosed before a formal business case or SLA is approved.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 ht="38" customHeight="1">
      <x:c r="A4" s="63" t="str">
        <x:v>Issue</x:v>
      </x:c>
      <x:c r="B4" s="64" t="str">
        <x:v>Rows / example</x:v>
      </x:c>
      <x:c r="C4" s="64" t="str">
        <x:v>KPI impact</x:v>
      </x:c>
      <x:c r="D4" s="64" t="str">
        <x:v>Treatment</x:v>
      </x:c>
      <x:c r="E4" s="64" t="str">
        <x:v>Status</x:v>
      </x:c>
      <x:c r="F4" s="65" t="str">
        <x:v>Owner</x:v>
      </x:c>
    </x:row>
    <x:row r="5" ht="56" customHeight="1">
      <x:c r="A5" s="66" t="str">
        <x:v>Duplicate request ID</x:v>
      </x:c>
      <x:c r="B5" s="67" t="str">
        <x:v>NOVA-0067</x:v>
      </x:c>
      <x:c r="C5" s="67" t="str">
        <x:v>Volume double-count risk</x:v>
      </x:c>
      <x:c r="D5" s="67" t="str">
        <x:v>Quarantine duplicate pending owner confirmation</x:v>
      </x:c>
      <x:c r="E5" s="67" t="str">
        <x:v>Open</x:v>
      </x:c>
      <x:c r="F5" s="68" t="str">
        <x:v>Data Owner</x:v>
      </x:c>
    </x:row>
    <x:row r="6" ht="56" customHeight="1">
      <x:c r="A6" s="69" t="str">
        <x:v>Negative approval duration</x:v>
      </x:c>
      <x:c r="B6" s="70" t="str">
        <x:v>1 row</x:v>
      </x:c>
      <x:c r="C6" s="70" t="str">
        <x:v>Timing average invalid</x:v>
      </x:c>
      <x:c r="D6" s="70" t="str">
        <x:v>Exclude from timing KPI and correct source</x:v>
      </x:c>
      <x:c r="E6" s="70" t="str">
        <x:v>Open</x:v>
      </x:c>
      <x:c r="F6" s="71" t="str">
        <x:v>Process Owner</x:v>
      </x:c>
    </x:row>
    <x:row r="7" ht="56" customHeight="1">
      <x:c r="A7" s="69" t="str">
        <x:v>Missing completion duration</x:v>
      </x:c>
      <x:c r="B7" s="70" t="str">
        <x:v>1 row</x:v>
      </x:c>
      <x:c r="C7" s="70" t="str">
        <x:v>Completion denominator incomplete</x:v>
      </x:c>
      <x:c r="D7" s="70" t="str">
        <x:v>Exclude and confirm evidence</x:v>
      </x:c>
      <x:c r="E7" s="70" t="str">
        <x:v>Open</x:v>
      </x:c>
      <x:c r="F7" s="71" t="str">
        <x:v>Process Owner</x:v>
      </x:c>
    </x:row>
    <x:row r="8" ht="56" customHeight="1">
      <x:c r="A8" s="69" t="str">
        <x:v>Classification mismatch</x:v>
      </x:c>
      <x:c r="B8" s="70" t="str">
        <x:v>1 row</x:v>
      </x:c>
      <x:c r="C8" s="70" t="str">
        <x:v>Control-risk understatement</x:v>
      </x:c>
      <x:c r="D8" s="70" t="str">
        <x:v>Do not reclassify without security approval</x:v>
      </x:c>
      <x:c r="E8" s="70" t="str">
        <x:v>Open</x:v>
      </x:c>
      <x:c r="F8" s="71" t="str">
        <x:v>Security Owner</x:v>
      </x:c>
    </x:row>
    <x:row r="9" ht="56" customHeight="1">
      <x:c r="A9" s="69" t="str">
        <x:v>Mixed completion definition</x:v>
      </x:c>
      <x:c r="B9" s="70" t="str">
        <x:v>30 rows use provisioning completed</x:v>
      </x:c>
      <x:c r="C9" s="70" t="str">
        <x:v>Timing results not directly comparable</x:v>
      </x:c>
      <x:c r="D9" s="70" t="str">
        <x:v>Segment or approve one official definition</x:v>
      </x:c>
      <x:c r="E9" s="70" t="str">
        <x:v>Open</x:v>
      </x:c>
      <x:c r="F9" s="71" t="str">
        <x:v>Steering Committee</x:v>
      </x:c>
    </x:row>
    <x:row r="10" ht="56" customHeight="1">
      <x:c r="A10" s="73" t="str">
        <x:v>Missing processing cost</x:v>
      </x:c>
      <x:c r="B10" s="74" t="str">
        <x:v>1 row</x:v>
      </x:c>
      <x:c r="C10" s="74" t="str">
        <x:v>Cost average incomplete</x:v>
      </x:c>
      <x:c r="D10" s="74" t="str">
        <x:v>Exclude and obtain finance value</x:v>
      </x:c>
      <x:c r="E10" s="74" t="str">
        <x:v>Open</x:v>
      </x:c>
      <x:c r="F10" s="75" t="str">
        <x:v>Finance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25" hidden="0" customWidth="1"/>
    <x:col min="12" max="12" width="18" hidden="0" customWidth="1"/>
    <x:col min="13" max="13" width="28" hidden="0" customWidth="1"/>
    <x:col min="14" max="14" width="18" hidden="0" customWidth="1"/>
    <x:col min="15" max="15" width="38" hidden="0" customWidth="1"/>
    <x:col min="16" max="16" width="18" hidden="0" customWidth="1"/>
    <x:col min="17" max="17" width="52" hidden="0" customWidth="1"/>
  </x:cols>
  <x:sheetData>
    <x:row r="1" ht="38" customHeight="1">
      <x:c r="A1" s="63" t="str">
        <x:v>Request ID</x:v>
      </x:c>
      <x:c r="B1" s="64" t="str">
        <x:v>Received At</x:v>
      </x:c>
      <x:c r="C1" s="64" t="str">
        <x:v>Application</x:v>
      </x:c>
      <x:c r="D1" s="64" t="str">
        <x:v>Access Type</x:v>
      </x:c>
      <x:c r="E1" s="64" t="str">
        <x:v>Classification</x:v>
      </x:c>
      <x:c r="F1" s="64" t="str">
        <x:v>Submitted Via</x:v>
      </x:c>
      <x:c r="G1" s="64" t="str">
        <x:v>Clarification Minutes</x:v>
      </x:c>
      <x:c r="H1" s="64" t="str">
        <x:v>Approval Minutes</x:v>
      </x:c>
      <x:c r="I1" s="64" t="str">
        <x:v>Fulfilment Minutes</x:v>
      </x:c>
      <x:c r="J1" s="64" t="str">
        <x:v>Completion Minutes</x:v>
      </x:c>
      <x:c r="K1" s="64" t="str">
        <x:v>Completion Definition</x:v>
      </x:c>
      <x:c r="L1" s="64" t="str">
        <x:v>Manual Interventions</x:v>
      </x:c>
      <x:c r="M1" s="64" t="str">
        <x:v>Outcome</x:v>
      </x:c>
      <x:c r="N1" s="64" t="str">
        <x:v>Processing Cost EUR</x:v>
      </x:c>
      <x:c r="O1" s="64" t="str">
        <x:v>Data Quality Flag</x:v>
      </x:c>
      <x:c r="P1" s="64" t="str">
        <x:v>Integration Ready</x:v>
      </x:c>
      <x:c r="Q1" s="65" t="str">
        <x:v>Integration Constraint</x:v>
      </x:c>
    </x:row>
    <x:row r="2" ht="34" customHeight="1">
      <x:c r="A2" s="66" t="str">
        <x:v>NOVA-0001</x:v>
      </x:c>
      <x:c r="B2" s="83" t="n">
        <x:v>46238.375</x:v>
      </x:c>
      <x:c r="C2" s="67" t="str">
        <x:v>ServiceNow</x:v>
      </x:c>
      <x:c r="D2" s="67" t="str">
        <x:v>Role change</x:v>
      </x:c>
      <x:c r="E2" s="67" t="str">
        <x:v>Standard</x:v>
      </x:c>
      <x:c r="F2" s="67" t="str">
        <x:v>Email</x:v>
      </x:c>
      <x:c r="G2" s="67" t="n">
        <x:v>5</x:v>
      </x:c>
      <x:c r="H2" s="67" t="n">
        <x:v>114</x:v>
      </x:c>
      <x:c r="I2" s="67" t="n">
        <x:v>76</x:v>
      </x:c>
      <x:c r="J2" s="67" t="n">
        <x:v>195</x:v>
      </x:c>
      <x:c r="K2" s="67" t="str">
        <x:v>User access confirmed</x:v>
      </x:c>
      <x:c r="L2" s="67" t="n">
        <x:v>2</x:v>
      </x:c>
      <x:c r="M2" s="67" t="str">
        <x:v>Completed</x:v>
      </x:c>
      <x:c r="N2" s="84" t="n">
        <x:v>58.5</x:v>
      </x:c>
      <x:c r="O2" s="67" t="str">
        <x:v>None</x:v>
      </x:c>
      <x:c r="P2" s="67" t="str">
        <x:v>Yes</x:v>
      </x:c>
      <x:c r="Q2" s="68" t="str">
        <x:v>Approved REST API and sandbox service account</x:v>
      </x:c>
    </x:row>
    <x:row r="3" ht="34" customHeight="1">
      <x:c r="A3" s="69" t="str">
        <x:v>NOVA-0002</x:v>
      </x:c>
      <x:c r="B3" s="85" t="n">
        <x:v>46241.416666666664</x:v>
      </x:c>
      <x:c r="C3" s="70" t="str">
        <x:v>ServiceNow</x:v>
      </x:c>
      <x:c r="D3" s="70" t="str">
        <x:v>Remove access</x:v>
      </x:c>
      <x:c r="E3" s="70" t="str">
        <x:v>Standard</x:v>
      </x:c>
      <x:c r="F3" s="70" t="str">
        <x:v>Teams</x:v>
      </x:c>
      <x:c r="G3" s="70" t="n">
        <x:v>5</x:v>
      </x:c>
      <x:c r="H3" s="70" t="n">
        <x:v>132</x:v>
      </x:c>
      <x:c r="I3" s="70" t="n">
        <x:v>90</x:v>
      </x:c>
      <x:c r="J3" s="70" t="n">
        <x:v>227</x:v>
      </x:c>
      <x:c r="K3" s="70" t="str">
        <x:v>User access confirmed</x:v>
      </x:c>
      <x:c r="L3" s="70" t="n">
        <x:v>3</x:v>
      </x:c>
      <x:c r="M3" s="70" t="str">
        <x:v>Completed</x:v>
      </x:c>
      <x:c r="N3" s="86" t="n">
        <x:v>68.1</x:v>
      </x:c>
      <x:c r="O3" s="70" t="str">
        <x:v>None</x:v>
      </x:c>
      <x:c r="P3" s="70" t="str">
        <x:v>Yes</x:v>
      </x:c>
      <x:c r="Q3" s="71" t="str">
        <x:v>Approved REST API and sandbox service account</x:v>
      </x:c>
    </x:row>
    <x:row r="4" ht="34" customHeight="1">
      <x:c r="A4" s="69" t="str">
        <x:v>NOVA-0003</x:v>
      </x:c>
      <x:c r="B4" s="85" t="n">
        <x:v>46244.458333333336</x:v>
      </x:c>
      <x:c r="C4" s="70" t="str">
        <x:v>ServiceNow</x:v>
      </x:c>
      <x:c r="D4" s="70" t="str">
        <x:v>Temporary access</x:v>
      </x:c>
      <x:c r="E4" s="70" t="str">
        <x:v>Standard</x:v>
      </x:c>
      <x:c r="F4" s="70" t="str">
        <x:v>Service desk</x:v>
      </x:c>
      <x:c r="G4" s="70" t="n">
        <x:v>15</x:v>
      </x:c>
      <x:c r="H4" s="70" t="n">
        <x:v>150</x:v>
      </x:c>
      <x:c r="I4" s="70" t="n">
        <x:v>104</x:v>
      </x:c>
      <x:c r="J4" s="70" t="n">
        <x:v>269</x:v>
      </x:c>
      <x:c r="K4" s="70" t="str">
        <x:v>User access confirmed</x:v>
      </x:c>
      <x:c r="L4" s="70" t="n">
        <x:v>4</x:v>
      </x:c>
      <x:c r="M4" s="70" t="str">
        <x:v>Completed</x:v>
      </x:c>
      <x:c r="N4" s="86" t="n">
        <x:v>80.7</x:v>
      </x:c>
      <x:c r="O4" s="70" t="str">
        <x:v>None</x:v>
      </x:c>
      <x:c r="P4" s="70" t="str">
        <x:v>Yes</x:v>
      </x:c>
      <x:c r="Q4" s="71" t="str">
        <x:v>Approved REST API and sandbox service account</x:v>
      </x:c>
    </x:row>
    <x:row r="5" ht="34" customHeight="1">
      <x:c r="A5" s="69" t="str">
        <x:v>NOVA-0004</x:v>
      </x:c>
      <x:c r="B5" s="85" t="n">
        <x:v>46247.5</x:v>
      </x:c>
      <x:c r="C5" s="70" t="str">
        <x:v>ServiceNow</x:v>
      </x:c>
      <x:c r="D5" s="70" t="str">
        <x:v>New access</x:v>
      </x:c>
      <x:c r="E5" s="70" t="str">
        <x:v>Standard</x:v>
      </x:c>
      <x:c r="F5" s="70" t="str">
        <x:v>Portal</x:v>
      </x:c>
      <x:c r="G5" s="70" t="n">
        <x:v>5</x:v>
      </x:c>
      <x:c r="H5" s="70" t="n">
        <x:v>168</x:v>
      </x:c>
      <x:c r="I5" s="70" t="n">
        <x:v>118</x:v>
      </x:c>
      <x:c r="J5" s="70" t="n">
        <x:v>291</x:v>
      </x:c>
      <x:c r="K5" s="70" t="str">
        <x:v>Provisioning completed</x:v>
      </x:c>
      <x:c r="L5" s="70" t="n">
        <x:v>1</x:v>
      </x:c>
      <x:c r="M5" s="70" t="str">
        <x:v>Completed</x:v>
      </x:c>
      <x:c r="N5" s="86" t="n">
        <x:v>87.3</x:v>
      </x:c>
      <x:c r="O5" s="70" t="str">
        <x:v>Different completion definition</x:v>
      </x:c>
      <x:c r="P5" s="70" t="str">
        <x:v>Yes</x:v>
      </x:c>
      <x:c r="Q5" s="71" t="str">
        <x:v>Approved REST API and sandbox service account</x:v>
      </x:c>
    </x:row>
    <x:row r="6" ht="34" customHeight="1">
      <x:c r="A6" s="69" t="str">
        <x:v>NOVA-0005</x:v>
      </x:c>
      <x:c r="B6" s="85" t="n">
        <x:v>46250.541666666664</x:v>
      </x:c>
      <x:c r="C6" s="70" t="str">
        <x:v>ServiceNow</x:v>
      </x:c>
      <x:c r="D6" s="70" t="str">
        <x:v>Role change</x:v>
      </x:c>
      <x:c r="E6" s="70" t="str">
        <x:v>Standard</x:v>
      </x:c>
      <x:c r="F6" s="70" t="str">
        <x:v>Email</x:v>
      </x:c>
      <x:c r="G6" s="70" t="n">
        <x:v>35</x:v>
      </x:c>
      <x:c r="H6" s="70" t="n">
        <x:v>186</x:v>
      </x:c>
      <x:c r="I6" s="70" t="n">
        <x:v>132</x:v>
      </x:c>
      <x:c r="J6" s="70" t="n">
        <x:v>353</x:v>
      </x:c>
      <x:c r="K6" s="70" t="str">
        <x:v>User access confirmed</x:v>
      </x:c>
      <x:c r="L6" s="70" t="n">
        <x:v>2</x:v>
      </x:c>
      <x:c r="M6" s="70" t="str">
        <x:v>Completed</x:v>
      </x:c>
      <x:c r="N6" s="86" t="n">
        <x:v>105.9</x:v>
      </x:c>
      <x:c r="O6" s="70" t="str">
        <x:v>None</x:v>
      </x:c>
      <x:c r="P6" s="70" t="str">
        <x:v>Yes</x:v>
      </x:c>
      <x:c r="Q6" s="71" t="str">
        <x:v>Approved REST API and sandbox service account</x:v>
      </x:c>
    </x:row>
    <x:row r="7" ht="34" customHeight="1">
      <x:c r="A7" s="69" t="str">
        <x:v>NOVA-0006</x:v>
      </x:c>
      <x:c r="B7" s="85" t="n">
        <x:v>46253.583333333336</x:v>
      </x:c>
      <x:c r="C7" s="70" t="str">
        <x:v>ServiceNow</x:v>
      </x:c>
      <x:c r="D7" s="70" t="str">
        <x:v>Remove access</x:v>
      </x:c>
      <x:c r="E7" s="70" t="str">
        <x:v>Standard</x:v>
      </x:c>
      <x:c r="F7" s="70" t="str">
        <x:v>Teams</x:v>
      </x:c>
      <x:c r="G7" s="70" t="n">
        <x:v>15</x:v>
      </x:c>
      <x:c r="H7" s="70" t="n">
        <x:v>204</x:v>
      </x:c>
      <x:c r="I7" s="70" t="n">
        <x:v>62</x:v>
      </x:c>
      <x:c r="J7" s="70" t="n">
        <x:v>281</x:v>
      </x:c>
      <x:c r="K7" s="70" t="str">
        <x:v>User access confirmed</x:v>
      </x:c>
      <x:c r="L7" s="70" t="n">
        <x:v>3</x:v>
      </x:c>
      <x:c r="M7" s="70" t="str">
        <x:v>Completed</x:v>
      </x:c>
      <x:c r="N7" s="86" t="n">
        <x:v>84.3</x:v>
      </x:c>
      <x:c r="O7" s="70" t="str">
        <x:v>None</x:v>
      </x:c>
      <x:c r="P7" s="70" t="str">
        <x:v>Yes</x:v>
      </x:c>
      <x:c r="Q7" s="71" t="str">
        <x:v>Approved REST API and sandbox service account</x:v>
      </x:c>
    </x:row>
    <x:row r="8" ht="34" customHeight="1">
      <x:c r="A8" s="69" t="str">
        <x:v>NOVA-0007</x:v>
      </x:c>
      <x:c r="B8" s="85" t="n">
        <x:v>46256.333333333336</x:v>
      </x:c>
      <x:c r="C8" s="70" t="str">
        <x:v>ServiceNow</x:v>
      </x:c>
      <x:c r="D8" s="70" t="str">
        <x:v>Temporary access</x:v>
      </x:c>
      <x:c r="E8" s="70" t="str">
        <x:v>Standard</x:v>
      </x:c>
      <x:c r="F8" s="70" t="str">
        <x:v>Service desk</x:v>
      </x:c>
      <x:c r="G8" s="70" t="n">
        <x:v>5</x:v>
      </x:c>
      <x:c r="H8" s="70" t="n">
        <x:v>-25</x:v>
      </x:c>
      <x:c r="I8" s="70" t="n">
        <x:v>76</x:v>
      </x:c>
      <x:c r="J8" s="70" t="n">
        <x:v>56</x:v>
      </x:c>
      <x:c r="K8" s="70" t="str">
        <x:v>User access confirmed</x:v>
      </x:c>
      <x:c r="L8" s="70" t="n">
        <x:v>4</x:v>
      </x:c>
      <x:c r="M8" s="70" t="str">
        <x:v>Completed</x:v>
      </x:c>
      <x:c r="N8" s="86" t="n">
        <x:v>24.3</x:v>
      </x:c>
      <x:c r="O8" s="70" t="str">
        <x:v>Negative approval duration</x:v>
      </x:c>
      <x:c r="P8" s="70" t="str">
        <x:v>Yes</x:v>
      </x:c>
      <x:c r="Q8" s="71" t="str">
        <x:v>Approved REST API and sandbox service account</x:v>
      </x:c>
    </x:row>
    <x:row r="9" ht="34" customHeight="1">
      <x:c r="A9" s="69" t="str">
        <x:v>NOVA-0008</x:v>
      </x:c>
      <x:c r="B9" s="85" t="n">
        <x:v>46259.375</x:v>
      </x:c>
      <x:c r="C9" s="70" t="str">
        <x:v>ServiceNow</x:v>
      </x:c>
      <x:c r="D9" s="70" t="str">
        <x:v>New access</x:v>
      </x:c>
      <x:c r="E9" s="70" t="str">
        <x:v>Standard</x:v>
      </x:c>
      <x:c r="F9" s="70" t="str">
        <x:v>Portal</x:v>
      </x:c>
      <x:c r="G9" s="70" t="n">
        <x:v>5</x:v>
      </x:c>
      <x:c r="H9" s="70" t="n">
        <x:v>114</x:v>
      </x:c>
      <x:c r="I9" s="70" t="n">
        <x:v>90</x:v>
      </x:c>
      <x:c r="J9" s="70" t="n">
        <x:v>209</x:v>
      </x:c>
      <x:c r="K9" s="70" t="str">
        <x:v>Provisioning completed</x:v>
      </x:c>
      <x:c r="L9" s="70" t="n">
        <x:v>1</x:v>
      </x:c>
      <x:c r="M9" s="70" t="str">
        <x:v>Completed</x:v>
      </x:c>
      <x:c r="N9" s="86" t="n">
        <x:v>62.7</x:v>
      </x:c>
      <x:c r="O9" s="70" t="str">
        <x:v>Different completion definition</x:v>
      </x:c>
      <x:c r="P9" s="70" t="str">
        <x:v>Yes</x:v>
      </x:c>
      <x:c r="Q9" s="71" t="str">
        <x:v>Approved REST API and sandbox service account</x:v>
      </x:c>
    </x:row>
    <x:row r="10" ht="34" customHeight="1">
      <x:c r="A10" s="69" t="str">
        <x:v>NOVA-0009</x:v>
      </x:c>
      <x:c r="B10" s="85" t="n">
        <x:v>46237.416666666664</x:v>
      </x:c>
      <x:c r="C10" s="70" t="str">
        <x:v>ServiceNow</x:v>
      </x:c>
      <x:c r="D10" s="70" t="str">
        <x:v>Role change</x:v>
      </x:c>
      <x:c r="E10" s="70" t="str">
        <x:v>Standard</x:v>
      </x:c>
      <x:c r="F10" s="70" t="str">
        <x:v>Email</x:v>
      </x:c>
      <x:c r="G10" s="70" t="n">
        <x:v>15</x:v>
      </x:c>
      <x:c r="H10" s="70" t="n">
        <x:v>132</x:v>
      </x:c>
      <x:c r="I10" s="70" t="n">
        <x:v>104</x:v>
      </x:c>
      <x:c r="J10" s="70" t="n">
        <x:v>251</x:v>
      </x:c>
      <x:c r="K10" s="70" t="str">
        <x:v>User access confirmed</x:v>
      </x:c>
      <x:c r="L10" s="70" t="n">
        <x:v>2</x:v>
      </x:c>
      <x:c r="M10" s="70" t="str">
        <x:v>Completed</x:v>
      </x:c>
      <x:c r="N10" s="86" t="n">
        <x:v>75.3</x:v>
      </x:c>
      <x:c r="O10" s="70" t="str">
        <x:v>None</x:v>
      </x:c>
      <x:c r="P10" s="70" t="str">
        <x:v>Yes</x:v>
      </x:c>
      <x:c r="Q10" s="71" t="str">
        <x:v>Approved REST API and sandbox service account</x:v>
      </x:c>
    </x:row>
    <x:row r="11" ht="34" customHeight="1">
      <x:c r="A11" s="69" t="str">
        <x:v>NOVA-0010</x:v>
      </x:c>
      <x:c r="B11" s="85" t="n">
        <x:v>46240.458333333336</x:v>
      </x:c>
      <x:c r="C11" s="70" t="str">
        <x:v>ServiceNow</x:v>
      </x:c>
      <x:c r="D11" s="70" t="str">
        <x:v>Remove access</x:v>
      </x:c>
      <x:c r="E11" s="70" t="str">
        <x:v>Privileged</x:v>
      </x:c>
      <x:c r="F11" s="70" t="str">
        <x:v>Teams</x:v>
      </x:c>
      <x:c r="G11" s="70" t="n">
        <x:v>35</x:v>
      </x:c>
      <x:c r="H11" s="70" t="n">
        <x:v>150</x:v>
      </x:c>
      <x:c r="I11" s="70" t="n">
        <x:v>118</x:v>
      </x:c>
      <x:c r="J11" s="70" t="n">
        <x:v>303</x:v>
      </x:c>
      <x:c r="K11" s="70" t="str">
        <x:v>User access confirmed</x:v>
      </x:c>
      <x:c r="L11" s="70" t="n">
        <x:v>3</x:v>
      </x:c>
      <x:c r="M11" s="70" t="str">
        <x:v>Completed</x:v>
      </x:c>
      <x:c r="N11" s="86" t="n">
        <x:v>90.9</x:v>
      </x:c>
      <x:c r="O11" s="70" t="str">
        <x:v>None</x:v>
      </x:c>
      <x:c r="P11" s="70" t="str">
        <x:v>Yes</x:v>
      </x:c>
      <x:c r="Q11" s="71" t="str">
        <x:v>Approved REST API and sandbox service account</x:v>
      </x:c>
    </x:row>
    <x:row r="12" ht="34" customHeight="1">
      <x:c r="A12" s="69" t="str">
        <x:v>NOVA-0011</x:v>
      </x:c>
      <x:c r="B12" s="85" t="n">
        <x:v>46243.5</x:v>
      </x:c>
      <x:c r="C12" s="70" t="str">
        <x:v>ServiceNow</x:v>
      </x:c>
      <x:c r="D12" s="70" t="str">
        <x:v>Temporary access</x:v>
      </x:c>
      <x:c r="E12" s="70" t="str">
        <x:v>Standard</x:v>
      </x:c>
      <x:c r="F12" s="70" t="str">
        <x:v>Service desk</x:v>
      </x:c>
      <x:c r="G12" s="70" t="n">
        <x:v>5</x:v>
      </x:c>
      <x:c r="H12" s="70" t="n">
        <x:v>328</x:v>
      </x:c>
      <x:c r="I12" s="70" t="n">
        <x:v>132</x:v>
      </x:c>
      <x:c r="J12" s="70" t="n">
        <x:v>465</x:v>
      </x:c>
      <x:c r="K12" s="70" t="str">
        <x:v>User access confirmed</x:v>
      </x:c>
      <x:c r="L12" s="70" t="n">
        <x:v>4</x:v>
      </x:c>
      <x:c r="M12" s="70" t="str">
        <x:v>Completed</x:v>
      </x:c>
      <x:c r="N12" s="86" t="n">
        <x:v>139.5</x:v>
      </x:c>
      <x:c r="O12" s="70" t="str">
        <x:v>None</x:v>
      </x:c>
      <x:c r="P12" s="70" t="str">
        <x:v>Yes</x:v>
      </x:c>
      <x:c r="Q12" s="71" t="str">
        <x:v>Approved REST API and sandbox service account</x:v>
      </x:c>
    </x:row>
    <x:row r="13" ht="34" customHeight="1">
      <x:c r="A13" s="69" t="str">
        <x:v>NOVA-0012</x:v>
      </x:c>
      <x:c r="B13" s="85" t="n">
        <x:v>46246.541666666664</x:v>
      </x:c>
      <x:c r="C13" s="70" t="str">
        <x:v>ServiceNow</x:v>
      </x:c>
      <x:c r="D13" s="70" t="str">
        <x:v>New access</x:v>
      </x:c>
      <x:c r="E13" s="70" t="str">
        <x:v>Standard</x:v>
      </x:c>
      <x:c r="F13" s="70" t="str">
        <x:v>Portal</x:v>
      </x:c>
      <x:c r="G13" s="70" t="n">
        <x:v>15</x:v>
      </x:c>
      <x:c r="H13" s="70" t="n">
        <x:v>186</x:v>
      </x:c>
      <x:c r="I13" s="70" t="n">
        <x:v>62</x:v>
      </x:c>
      <x:c r="J13" s="70" t="n">
        <x:v>263</x:v>
      </x:c>
      <x:c r="K13" s="70" t="str">
        <x:v>Provisioning completed</x:v>
      </x:c>
      <x:c r="L13" s="70" t="n">
        <x:v>1</x:v>
      </x:c>
      <x:c r="M13" s="70" t="str">
        <x:v>Completed</x:v>
      </x:c>
      <x:c r="N13" s="86" t="n">
        <x:v>78.9</x:v>
      </x:c>
      <x:c r="O13" s="70" t="str">
        <x:v>Different completion definition</x:v>
      </x:c>
      <x:c r="P13" s="70" t="str">
        <x:v>Yes</x:v>
      </x:c>
      <x:c r="Q13" s="71" t="str">
        <x:v>Approved REST API and sandbox service account</x:v>
      </x:c>
    </x:row>
    <x:row r="14" ht="34" customHeight="1">
      <x:c r="A14" s="69" t="str">
        <x:v>NOVA-0013</x:v>
      </x:c>
      <x:c r="B14" s="85" t="n">
        <x:v>46249.583333333336</x:v>
      </x:c>
      <x:c r="C14" s="70" t="str">
        <x:v>ServiceNow</x:v>
      </x:c>
      <x:c r="D14" s="70" t="str">
        <x:v>Role change</x:v>
      </x:c>
      <x:c r="E14" s="70" t="str">
        <x:v>Standard</x:v>
      </x:c>
      <x:c r="F14" s="70" t="str">
        <x:v>Email</x:v>
      </x:c>
      <x:c r="G14" s="70" t="n">
        <x:v>5</x:v>
      </x:c>
      <x:c r="H14" s="70" t="n">
        <x:v>204</x:v>
      </x:c>
      <x:c r="I14" s="70" t="n">
        <x:v>76</x:v>
      </x:c>
      <x:c r="J14" s="70" t="n">
        <x:v>285</x:v>
      </x:c>
      <x:c r="K14" s="70" t="str">
        <x:v>User access confirmed</x:v>
      </x:c>
      <x:c r="L14" s="70" t="n">
        <x:v>2</x:v>
      </x:c>
      <x:c r="M14" s="70" t="str">
        <x:v>Completed</x:v>
      </x:c>
      <x:c r="N14" s="86" t="n">
        <x:v>85.5</x:v>
      </x:c>
      <x:c r="O14" s="70" t="str">
        <x:v>None</x:v>
      </x:c>
      <x:c r="P14" s="70" t="str">
        <x:v>Yes</x:v>
      </x:c>
      <x:c r="Q14" s="71" t="str">
        <x:v>Approved REST API and sandbox service account</x:v>
      </x:c>
    </x:row>
    <x:row r="15" ht="34" customHeight="1">
      <x:c r="A15" s="69" t="str">
        <x:v>NOVA-0014</x:v>
      </x:c>
      <x:c r="B15" s="85" t="n">
        <x:v>46252.333333333336</x:v>
      </x:c>
      <x:c r="C15" s="70" t="str">
        <x:v>ServiceNow</x:v>
      </x:c>
      <x:c r="D15" s="70" t="str">
        <x:v>Remove access</x:v>
      </x:c>
      <x:c r="E15" s="70" t="str">
        <x:v>Standard</x:v>
      </x:c>
      <x:c r="F15" s="70" t="str">
        <x:v>Teams</x:v>
      </x:c>
      <x:c r="G15" s="70" t="n">
        <x:v>5</x:v>
      </x:c>
      <x:c r="H15" s="70" t="n">
        <x:v>96</x:v>
      </x:c>
      <x:c r="I15" s="70" t="n">
        <x:v>90</x:v>
      </x:c>
      <x:c r="J15" s="70" t="n">
        <x:v>191</x:v>
      </x:c>
      <x:c r="K15" s="70" t="str">
        <x:v>User access confirmed</x:v>
      </x:c>
      <x:c r="L15" s="70" t="n">
        <x:v>3</x:v>
      </x:c>
      <x:c r="M15" s="70" t="str">
        <x:v>Completed</x:v>
      </x:c>
      <x:c r="N15" s="86" t="n">
        <x:v>57.3</x:v>
      </x:c>
      <x:c r="O15" s="70" t="str">
        <x:v>None</x:v>
      </x:c>
      <x:c r="P15" s="70" t="str">
        <x:v>Yes</x:v>
      </x:c>
      <x:c r="Q15" s="71" t="str">
        <x:v>Approved REST API and sandbox service account</x:v>
      </x:c>
    </x:row>
    <x:row r="16" ht="34" customHeight="1">
      <x:c r="A16" s="69" t="str">
        <x:v>NOVA-0015</x:v>
      </x:c>
      <x:c r="B16" s="85" t="n">
        <x:v>46255.375</x:v>
      </x:c>
      <x:c r="C16" s="70" t="str">
        <x:v>ServiceNow</x:v>
      </x:c>
      <x:c r="D16" s="70" t="str">
        <x:v>Temporary access</x:v>
      </x:c>
      <x:c r="E16" s="70" t="str">
        <x:v>Standard</x:v>
      </x:c>
      <x:c r="F16" s="70" t="str">
        <x:v>Service desk</x:v>
      </x:c>
      <x:c r="G16" s="70" t="n">
        <x:v>35</x:v>
      </x:c>
      <x:c r="H16" s="70" t="n">
        <x:v>114</x:v>
      </x:c>
      <x:c r="I16" s="70" t="n">
        <x:v>104</x:v>
      </x:c>
      <x:c r="J16" s="70" t="n">
        <x:v>253</x:v>
      </x:c>
      <x:c r="K16" s="70" t="str">
        <x:v>User access confirmed</x:v>
      </x:c>
      <x:c r="L16" s="70" t="n">
        <x:v>4</x:v>
      </x:c>
      <x:c r="M16" s="70" t="str">
        <x:v>Completed</x:v>
      </x:c>
      <x:c r="N16" s="86" t="n">
        <x:v>75.9</x:v>
      </x:c>
      <x:c r="O16" s="70" t="str">
        <x:v>None</x:v>
      </x:c>
      <x:c r="P16" s="70" t="str">
        <x:v>Yes</x:v>
      </x:c>
      <x:c r="Q16" s="71" t="str">
        <x:v>Approved REST API and sandbox service account</x:v>
      </x:c>
    </x:row>
    <x:row r="17" ht="34" customHeight="1">
      <x:c r="A17" s="69" t="str">
        <x:v>NOVA-0016</x:v>
      </x:c>
      <x:c r="B17" s="85" t="n">
        <x:v>46258.416666666664</x:v>
      </x:c>
      <x:c r="C17" s="70" t="str">
        <x:v>ServiceNow</x:v>
      </x:c>
      <x:c r="D17" s="70" t="str">
        <x:v>New access</x:v>
      </x:c>
      <x:c r="E17" s="70" t="str">
        <x:v>Standard</x:v>
      </x:c>
      <x:c r="F17" s="70" t="str">
        <x:v>Portal</x:v>
      </x:c>
      <x:c r="G17" s="70" t="n">
        <x:v>5</x:v>
      </x:c>
      <x:c r="H17" s="70" t="n">
        <x:v>132</x:v>
      </x:c>
      <x:c r="I17" s="70" t="n">
        <x:v>118</x:v>
      </x:c>
      <x:c r="J17" s="70" t="n">
        <x:v>255</x:v>
      </x:c>
      <x:c r="K17" s="70" t="str">
        <x:v>Provisioning completed</x:v>
      </x:c>
      <x:c r="L17" s="70" t="n">
        <x:v>1</x:v>
      </x:c>
      <x:c r="M17" s="70" t="str">
        <x:v>Completed</x:v>
      </x:c>
      <x:c r="N17" s="86" t="n">
        <x:v>76.5</x:v>
      </x:c>
      <x:c r="O17" s="70" t="str">
        <x:v>Different completion definition</x:v>
      </x:c>
      <x:c r="P17" s="70" t="str">
        <x:v>Yes</x:v>
      </x:c>
      <x:c r="Q17" s="71" t="str">
        <x:v>Approved REST API and sandbox service account</x:v>
      </x:c>
    </x:row>
    <x:row r="18" ht="34" customHeight="1">
      <x:c r="A18" s="69" t="str">
        <x:v>NOVA-0017</x:v>
      </x:c>
      <x:c r="B18" s="85" t="n">
        <x:v>46236.458333333336</x:v>
      </x:c>
      <x:c r="C18" s="70" t="str">
        <x:v>ServiceNow</x:v>
      </x:c>
      <x:c r="D18" s="70" t="str">
        <x:v>Role change</x:v>
      </x:c>
      <x:c r="E18" s="70" t="str">
        <x:v>Standard</x:v>
      </x:c>
      <x:c r="F18" s="70" t="str">
        <x:v>Email</x:v>
      </x:c>
      <x:c r="G18" s="70" t="n">
        <x:v>5</x:v>
      </x:c>
      <x:c r="H18" s="70" t="n">
        <x:v>150</x:v>
      </x:c>
      <x:c r="I18" s="70" t="n">
        <x:v>132</x:v>
      </x:c>
      <x:c r="J18" s="70" t="n">
        <x:v>287</x:v>
      </x:c>
      <x:c r="K18" s="70" t="str">
        <x:v>User access confirmed</x:v>
      </x:c>
      <x:c r="L18" s="70" t="n">
        <x:v>2</x:v>
      </x:c>
      <x:c r="M18" s="70" t="str">
        <x:v>Returned for clarification</x:v>
      </x:c>
      <x:c r="N18" s="86" t="n">
        <x:v>86.1</x:v>
      </x:c>
      <x:c r="O18" s="70" t="str">
        <x:v>None</x:v>
      </x:c>
      <x:c r="P18" s="70" t="str">
        <x:v>Yes</x:v>
      </x:c>
      <x:c r="Q18" s="71" t="str">
        <x:v>Approved REST API and sandbox service account</x:v>
      </x:c>
    </x:row>
    <x:row r="19" ht="34" customHeight="1">
      <x:c r="A19" s="69" t="str">
        <x:v>NOVA-0018</x:v>
      </x:c>
      <x:c r="B19" s="85" t="n">
        <x:v>46239.5</x:v>
      </x:c>
      <x:c r="C19" s="70" t="str">
        <x:v>ServiceNow</x:v>
      </x:c>
      <x:c r="D19" s="70" t="str">
        <x:v>Remove access</x:v>
      </x:c>
      <x:c r="E19" s="70" t="str">
        <x:v>Standard</x:v>
      </x:c>
      <x:c r="F19" s="70" t="str">
        <x:v>Teams</x:v>
      </x:c>
      <x:c r="G19" s="70" t="n">
        <x:v>15</x:v>
      </x:c>
      <x:c r="H19" s="70" t="n">
        <x:v>168</x:v>
      </x:c>
      <x:c r="I19" s="70" t="n">
        <x:v>62</x:v>
      </x:c>
      <x:c r="J19" s="70" t="n">
        <x:v>245</x:v>
      </x:c>
      <x:c r="K19" s="70" t="str">
        <x:v>User access confirmed</x:v>
      </x:c>
      <x:c r="L19" s="70" t="n">
        <x:v>3</x:v>
      </x:c>
      <x:c r="M19" s="70" t="str">
        <x:v>Completed</x:v>
      </x:c>
      <x:c r="N19" s="86" t="n">
        <x:v>73.5</x:v>
      </x:c>
      <x:c r="O19" s="70" t="str">
        <x:v>None</x:v>
      </x:c>
      <x:c r="P19" s="70" t="str">
        <x:v>Yes</x:v>
      </x:c>
      <x:c r="Q19" s="71" t="str">
        <x:v>Approved REST API and sandbox service account</x:v>
      </x:c>
    </x:row>
    <x:row r="20" ht="34" customHeight="1">
      <x:c r="A20" s="69" t="str">
        <x:v>NOVA-0019</x:v>
      </x:c>
      <x:c r="B20" s="85" t="n">
        <x:v>46242.541666666664</x:v>
      </x:c>
      <x:c r="C20" s="70" t="str">
        <x:v>HR Core</x:v>
      </x:c>
      <x:c r="D20" s="70" t="str">
        <x:v>Temporary access</x:v>
      </x:c>
      <x:c r="E20" s="70" t="str">
        <x:v>Standard</x:v>
      </x:c>
      <x:c r="F20" s="70" t="str">
        <x:v>Service desk</x:v>
      </x:c>
      <x:c r="G20" s="70" t="n">
        <x:v>5</x:v>
      </x:c>
      <x:c r="H20" s="70" t="n">
        <x:v>208</x:v>
      </x:c>
      <x:c r="I20" s="70" t="n">
        <x:v>91</x:v>
      </x:c>
      <x:c r="J20" s="70" t="n">
        <x:v>304</x:v>
      </x:c>
      <x:c r="K20" s="70" t="str">
        <x:v>User access confirmed</x:v>
      </x:c>
      <x:c r="L20" s="70" t="n">
        <x:v>4</x:v>
      </x:c>
      <x:c r="M20" s="70" t="str">
        <x:v>Rejected</x:v>
      </x:c>
      <x:c r="N20" s="86" t="n">
        <x:v>111.47</x:v>
      </x:c>
      <x:c r="O20" s="70" t="str">
        <x:v>None</x:v>
      </x:c>
      <x:c r="P20" s="70" t="str">
        <x:v>Yes</x:v>
      </x:c>
      <x:c r="Q20" s="71" t="str">
        <x:v>Approved batch API and test tenant</x:v>
      </x:c>
    </x:row>
    <x:row r="21" ht="34" customHeight="1">
      <x:c r="A21" s="69" t="str">
        <x:v>NOVA-0020</x:v>
      </x:c>
      <x:c r="B21" s="85" t="n">
        <x:v>46245.583333333336</x:v>
      </x:c>
      <x:c r="C21" s="70" t="str">
        <x:v>HR Core</x:v>
      </x:c>
      <x:c r="D21" s="70" t="str">
        <x:v>New access</x:v>
      </x:c>
      <x:c r="E21" s="70" t="str">
        <x:v>Privileged</x:v>
      </x:c>
      <x:c r="F21" s="70" t="str">
        <x:v>Portal</x:v>
      </x:c>
      <x:c r="G21" s="70" t="n">
        <x:v>35</x:v>
      </x:c>
      <x:c r="H21" s="70" t="n">
        <x:v>226</x:v>
      </x:c>
      <x:c r="I21" s="70" t="n">
        <x:v>105</x:v>
      </x:c>
      <x:c r="J21" s="70" t="n">
        <x:v>366</x:v>
      </x:c>
      <x:c r="K21" s="70" t="str">
        <x:v>Provisioning completed</x:v>
      </x:c>
      <x:c r="L21" s="70" t="n">
        <x:v>1</x:v>
      </x:c>
      <x:c r="M21" s="70" t="str">
        <x:v>Completed</x:v>
      </x:c>
      <x:c r="N21" s="86" t="n">
        <x:v>134.2</x:v>
      </x:c>
      <x:c r="O21" s="70" t="str">
        <x:v>Different completion definition</x:v>
      </x:c>
      <x:c r="P21" s="70" t="str">
        <x:v>Yes</x:v>
      </x:c>
      <x:c r="Q21" s="71" t="str">
        <x:v>Approved batch API and test tenant</x:v>
      </x:c>
    </x:row>
    <x:row r="22" ht="34" customHeight="1">
      <x:c r="A22" s="69" t="str">
        <x:v>NOVA-0021</x:v>
      </x:c>
      <x:c r="B22" s="85" t="n">
        <x:v>46248.333333333336</x:v>
      </x:c>
      <x:c r="C22" s="70" t="str">
        <x:v>HR Core</x:v>
      </x:c>
      <x:c r="D22" s="70" t="str">
        <x:v>Role change</x:v>
      </x:c>
      <x:c r="E22" s="70" t="str">
        <x:v>Standard</x:v>
      </x:c>
      <x:c r="F22" s="70" t="str">
        <x:v>Email</x:v>
      </x:c>
      <x:c r="G22" s="70" t="n">
        <x:v>15</x:v>
      </x:c>
      <x:c r="H22" s="70" t="n">
        <x:v>118</x:v>
      </x:c>
      <x:c r="I22" s="70" t="n">
        <x:v>119</x:v>
      </x:c>
      <x:c r="J22" s="70" t="n">
        <x:v>252</x:v>
      </x:c>
      <x:c r="K22" s="70" t="str">
        <x:v>User access confirmed</x:v>
      </x:c>
      <x:c r="L22" s="70" t="n">
        <x:v>2</x:v>
      </x:c>
      <x:c r="M22" s="70" t="str">
        <x:v>Completed</x:v>
      </x:c>
      <x:c r="N22" s="86" t="n">
        <x:v>92.4</x:v>
      </x:c>
      <x:c r="O22" s="70" t="str">
        <x:v>None</x:v>
      </x:c>
      <x:c r="P22" s="70" t="str">
        <x:v>Yes</x:v>
      </x:c>
      <x:c r="Q22" s="71" t="str">
        <x:v>Approved batch API and test tenant</x:v>
      </x:c>
    </x:row>
    <x:row r="23" ht="34" customHeight="1">
      <x:c r="A23" s="69" t="str">
        <x:v>NOVA-0022</x:v>
      </x:c>
      <x:c r="B23" s="85" t="n">
        <x:v>46251.375</x:v>
      </x:c>
      <x:c r="C23" s="70" t="str">
        <x:v>HR Core</x:v>
      </x:c>
      <x:c r="D23" s="70" t="str">
        <x:v>Remove access</x:v>
      </x:c>
      <x:c r="E23" s="70" t="str">
        <x:v>Standard</x:v>
      </x:c>
      <x:c r="F23" s="70" t="str">
        <x:v>Teams</x:v>
      </x:c>
      <x:c r="G23" s="70" t="n">
        <x:v>5</x:v>
      </x:c>
      <x:c r="H23" s="70" t="n">
        <x:v>296</x:v>
      </x:c>
      <x:c r="I23" s="70" t="n">
        <x:v>133</x:v>
      </x:c>
      <x:c r="J23" s="70"/>
      <x:c r="K23" s="70" t="str">
        <x:v>User access confirmed</x:v>
      </x:c>
      <x:c r="L23" s="70" t="n">
        <x:v>3</x:v>
      </x:c>
      <x:c r="M23" s="70" t="str">
        <x:v>Completed</x:v>
      </x:c>
      <x:c r="N23" s="86" t="n">
        <x:v>159.13</x:v>
      </x:c>
      <x:c r="O23" s="70" t="str">
        <x:v>Missing completion duration</x:v>
      </x:c>
      <x:c r="P23" s="70" t="str">
        <x:v>Yes</x:v>
      </x:c>
      <x:c r="Q23" s="71" t="str">
        <x:v>Approved batch API and test tenant</x:v>
      </x:c>
    </x:row>
    <x:row r="24" ht="34" customHeight="1">
      <x:c r="A24" s="69" t="str">
        <x:v>NOVA-0023</x:v>
      </x:c>
      <x:c r="B24" s="85" t="n">
        <x:v>46254.416666666664</x:v>
      </x:c>
      <x:c r="C24" s="70" t="str">
        <x:v>HR Core</x:v>
      </x:c>
      <x:c r="D24" s="70" t="str">
        <x:v>Temporary access</x:v>
      </x:c>
      <x:c r="E24" s="70" t="str">
        <x:v>Standard</x:v>
      </x:c>
      <x:c r="F24" s="70" t="str">
        <x:v>Service desk</x:v>
      </x:c>
      <x:c r="G24" s="70" t="n">
        <x:v>5</x:v>
      </x:c>
      <x:c r="H24" s="70" t="n">
        <x:v>154</x:v>
      </x:c>
      <x:c r="I24" s="70" t="n">
        <x:v>147</x:v>
      </x:c>
      <x:c r="J24" s="70" t="n">
        <x:v>306</x:v>
      </x:c>
      <x:c r="K24" s="70" t="str">
        <x:v>User access confirmed</x:v>
      </x:c>
      <x:c r="L24" s="70" t="n">
        <x:v>4</x:v>
      </x:c>
      <x:c r="M24" s="70" t="str">
        <x:v>Completed</x:v>
      </x:c>
      <x:c r="N24" s="86" t="n">
        <x:v>112.2</x:v>
      </x:c>
      <x:c r="O24" s="70" t="str">
        <x:v>None</x:v>
      </x:c>
      <x:c r="P24" s="70" t="str">
        <x:v>Yes</x:v>
      </x:c>
      <x:c r="Q24" s="71" t="str">
        <x:v>Approved batch API and test tenant</x:v>
      </x:c>
    </x:row>
    <x:row r="25" ht="34" customHeight="1">
      <x:c r="A25" s="69" t="str">
        <x:v>NOVA-0024</x:v>
      </x:c>
      <x:c r="B25" s="85" t="n">
        <x:v>46257.458333333336</x:v>
      </x:c>
      <x:c r="C25" s="70" t="str">
        <x:v>HR Core</x:v>
      </x:c>
      <x:c r="D25" s="70" t="str">
        <x:v>New access</x:v>
      </x:c>
      <x:c r="E25" s="70" t="str">
        <x:v>Standard</x:v>
      </x:c>
      <x:c r="F25" s="70" t="str">
        <x:v>Portal</x:v>
      </x:c>
      <x:c r="G25" s="70" t="n">
        <x:v>15</x:v>
      </x:c>
      <x:c r="H25" s="70" t="n">
        <x:v>172</x:v>
      </x:c>
      <x:c r="I25" s="70" t="n">
        <x:v>77</x:v>
      </x:c>
      <x:c r="J25" s="70" t="n">
        <x:v>264</x:v>
      </x:c>
      <x:c r="K25" s="70" t="str">
        <x:v>Provisioning completed</x:v>
      </x:c>
      <x:c r="L25" s="70" t="n">
        <x:v>1</x:v>
      </x:c>
      <x:c r="M25" s="70" t="str">
        <x:v>Completed</x:v>
      </x:c>
      <x:c r="N25" s="86" t="n">
        <x:v>96.8</x:v>
      </x:c>
      <x:c r="O25" s="70" t="str">
        <x:v>Different completion definition</x:v>
      </x:c>
      <x:c r="P25" s="70" t="str">
        <x:v>Yes</x:v>
      </x:c>
      <x:c r="Q25" s="71" t="str">
        <x:v>Approved batch API and test tenant</x:v>
      </x:c>
    </x:row>
    <x:row r="26" ht="34" customHeight="1">
      <x:c r="A26" s="69" t="str">
        <x:v>NOVA-0025</x:v>
      </x:c>
      <x:c r="B26" s="85" t="n">
        <x:v>46235.5</x:v>
      </x:c>
      <x:c r="C26" s="70" t="str">
        <x:v>HR Core</x:v>
      </x:c>
      <x:c r="D26" s="70" t="str">
        <x:v>Role change</x:v>
      </x:c>
      <x:c r="E26" s="70" t="str">
        <x:v>Standard</x:v>
      </x:c>
      <x:c r="F26" s="70" t="str">
        <x:v>Email</x:v>
      </x:c>
      <x:c r="G26" s="70" t="n">
        <x:v>35</x:v>
      </x:c>
      <x:c r="H26" s="70" t="n">
        <x:v>190</x:v>
      </x:c>
      <x:c r="I26" s="70" t="n">
        <x:v>91</x:v>
      </x:c>
      <x:c r="J26" s="70" t="n">
        <x:v>316</x:v>
      </x:c>
      <x:c r="K26" s="70" t="str">
        <x:v>User access confirmed</x:v>
      </x:c>
      <x:c r="L26" s="70" t="n">
        <x:v>2</x:v>
      </x:c>
      <x:c r="M26" s="70" t="str">
        <x:v>Completed</x:v>
      </x:c>
      <x:c r="N26" s="86" t="n">
        <x:v>115.87</x:v>
      </x:c>
      <x:c r="O26" s="70" t="str">
        <x:v>None</x:v>
      </x:c>
      <x:c r="P26" s="70" t="str">
        <x:v>Yes</x:v>
      </x:c>
      <x:c r="Q26" s="71" t="str">
        <x:v>Approved batch API and test tenant</x:v>
      </x:c>
    </x:row>
    <x:row r="27" ht="34" customHeight="1">
      <x:c r="A27" s="69" t="str">
        <x:v>NOVA-0026</x:v>
      </x:c>
      <x:c r="B27" s="85" t="n">
        <x:v>46238.541666666664</x:v>
      </x:c>
      <x:c r="C27" s="70" t="str">
        <x:v>HR Core</x:v>
      </x:c>
      <x:c r="D27" s="70" t="str">
        <x:v>Remove access</x:v>
      </x:c>
      <x:c r="E27" s="70" t="str">
        <x:v>Standard</x:v>
      </x:c>
      <x:c r="F27" s="70" t="str">
        <x:v>Teams</x:v>
      </x:c>
      <x:c r="G27" s="70" t="n">
        <x:v>5</x:v>
      </x:c>
      <x:c r="H27" s="70" t="n">
        <x:v>208</x:v>
      </x:c>
      <x:c r="I27" s="70" t="n">
        <x:v>105</x:v>
      </x:c>
      <x:c r="J27" s="70" t="n">
        <x:v>318</x:v>
      </x:c>
      <x:c r="K27" s="70" t="str">
        <x:v>User access confirmed</x:v>
      </x:c>
      <x:c r="L27" s="70" t="n">
        <x:v>3</x:v>
      </x:c>
      <x:c r="M27" s="70" t="str">
        <x:v>Completed</x:v>
      </x:c>
      <x:c r="N27" s="86" t="n">
        <x:v>116.6</x:v>
      </x:c>
      <x:c r="O27" s="70" t="str">
        <x:v>None</x:v>
      </x:c>
      <x:c r="P27" s="70" t="str">
        <x:v>Yes</x:v>
      </x:c>
      <x:c r="Q27" s="71" t="str">
        <x:v>Approved batch API and test tenant</x:v>
      </x:c>
    </x:row>
    <x:row r="28" ht="34" customHeight="1">
      <x:c r="A28" s="69" t="str">
        <x:v>NOVA-0027</x:v>
      </x:c>
      <x:c r="B28" s="85" t="n">
        <x:v>46241.583333333336</x:v>
      </x:c>
      <x:c r="C28" s="70" t="str">
        <x:v>HR Core</x:v>
      </x:c>
      <x:c r="D28" s="70" t="str">
        <x:v>Temporary access</x:v>
      </x:c>
      <x:c r="E28" s="70" t="str">
        <x:v>Admin</x:v>
      </x:c>
      <x:c r="F28" s="70" t="str">
        <x:v>Service desk</x:v>
      </x:c>
      <x:c r="G28" s="70" t="n">
        <x:v>15</x:v>
      </x:c>
      <x:c r="H28" s="70" t="n">
        <x:v>226</x:v>
      </x:c>
      <x:c r="I28" s="70" t="n">
        <x:v>119</x:v>
      </x:c>
      <x:c r="J28" s="70" t="n">
        <x:v>360</x:v>
      </x:c>
      <x:c r="K28" s="70" t="str">
        <x:v>User access confirmed</x:v>
      </x:c>
      <x:c r="L28" s="70" t="n">
        <x:v>4</x:v>
      </x:c>
      <x:c r="M28" s="70" t="str">
        <x:v>Completed</x:v>
      </x:c>
      <x:c r="N28" s="86" t="n">
        <x:v>132</x:v>
      </x:c>
      <x:c r="O28" s="70" t="str">
        <x:v>None</x:v>
      </x:c>
      <x:c r="P28" s="70" t="str">
        <x:v>Yes</x:v>
      </x:c>
      <x:c r="Q28" s="71" t="str">
        <x:v>Approved batch API and test tenant</x:v>
      </x:c>
    </x:row>
    <x:row r="29" ht="34" customHeight="1">
      <x:c r="A29" s="69" t="str">
        <x:v>NOVA-0028</x:v>
      </x:c>
      <x:c r="B29" s="85" t="n">
        <x:v>46244.333333333336</x:v>
      </x:c>
      <x:c r="C29" s="70" t="str">
        <x:v>HR Core</x:v>
      </x:c>
      <x:c r="D29" s="70" t="str">
        <x:v>New access</x:v>
      </x:c>
      <x:c r="E29" s="70" t="str">
        <x:v>Standard</x:v>
      </x:c>
      <x:c r="F29" s="70" t="str">
        <x:v>Portal</x:v>
      </x:c>
      <x:c r="G29" s="70" t="n">
        <x:v>5</x:v>
      </x:c>
      <x:c r="H29" s="70" t="n">
        <x:v>118</x:v>
      </x:c>
      <x:c r="I29" s="70" t="n">
        <x:v>133</x:v>
      </x:c>
      <x:c r="J29" s="70" t="n">
        <x:v>256</x:v>
      </x:c>
      <x:c r="K29" s="70" t="str">
        <x:v>Provisioning completed</x:v>
      </x:c>
      <x:c r="L29" s="70" t="n">
        <x:v>1</x:v>
      </x:c>
      <x:c r="M29" s="70" t="str">
        <x:v>Completed</x:v>
      </x:c>
      <x:c r="N29" s="86" t="n">
        <x:v>93.87</x:v>
      </x:c>
      <x:c r="O29" s="70" t="str">
        <x:v>Different completion definition</x:v>
      </x:c>
      <x:c r="P29" s="70" t="str">
        <x:v>Yes</x:v>
      </x:c>
      <x:c r="Q29" s="71" t="str">
        <x:v>Approved batch API and test tenant</x:v>
      </x:c>
    </x:row>
    <x:row r="30" ht="34" customHeight="1">
      <x:c r="A30" s="69" t="str">
        <x:v>NOVA-0029</x:v>
      </x:c>
      <x:c r="B30" s="85" t="n">
        <x:v>46247.375</x:v>
      </x:c>
      <x:c r="C30" s="70" t="str">
        <x:v>HR Core</x:v>
      </x:c>
      <x:c r="D30" s="70" t="str">
        <x:v>Role change</x:v>
      </x:c>
      <x:c r="E30" s="70" t="str">
        <x:v>Standard</x:v>
      </x:c>
      <x:c r="F30" s="70" t="str">
        <x:v>Email</x:v>
      </x:c>
      <x:c r="G30" s="70" t="n">
        <x:v>5</x:v>
      </x:c>
      <x:c r="H30" s="70" t="n">
        <x:v>136</x:v>
      </x:c>
      <x:c r="I30" s="70" t="n">
        <x:v>147</x:v>
      </x:c>
      <x:c r="J30" s="70" t="n">
        <x:v>288</x:v>
      </x:c>
      <x:c r="K30" s="70" t="str">
        <x:v>User access confirmed</x:v>
      </x:c>
      <x:c r="L30" s="70" t="n">
        <x:v>2</x:v>
      </x:c>
      <x:c r="M30" s="70" t="str">
        <x:v>Completed</x:v>
      </x:c>
      <x:c r="N30" s="86" t="n">
        <x:v>105.6</x:v>
      </x:c>
      <x:c r="O30" s="70" t="str">
        <x:v>None</x:v>
      </x:c>
      <x:c r="P30" s="70" t="str">
        <x:v>Yes</x:v>
      </x:c>
      <x:c r="Q30" s="71" t="str">
        <x:v>Approved batch API and test tenant</x:v>
      </x:c>
    </x:row>
    <x:row r="31" ht="34" customHeight="1">
      <x:c r="A31" s="69" t="str">
        <x:v>NOVA-0030</x:v>
      </x:c>
      <x:c r="B31" s="85" t="n">
        <x:v>46250.416666666664</x:v>
      </x:c>
      <x:c r="C31" s="70" t="str">
        <x:v>HR Core</x:v>
      </x:c>
      <x:c r="D31" s="70" t="str">
        <x:v>Remove access</x:v>
      </x:c>
      <x:c r="E31" s="70" t="str">
        <x:v>Privileged</x:v>
      </x:c>
      <x:c r="F31" s="70" t="str">
        <x:v>Teams</x:v>
      </x:c>
      <x:c r="G31" s="70" t="n">
        <x:v>35</x:v>
      </x:c>
      <x:c r="H31" s="70" t="n">
        <x:v>154</x:v>
      </x:c>
      <x:c r="I31" s="70" t="n">
        <x:v>77</x:v>
      </x:c>
      <x:c r="J31" s="70" t="n">
        <x:v>266</x:v>
      </x:c>
      <x:c r="K31" s="70" t="str">
        <x:v>User access confirmed</x:v>
      </x:c>
      <x:c r="L31" s="70" t="n">
        <x:v>3</x:v>
      </x:c>
      <x:c r="M31" s="70" t="str">
        <x:v>Completed</x:v>
      </x:c>
      <x:c r="N31" s="86" t="n">
        <x:v>97.53</x:v>
      </x:c>
      <x:c r="O31" s="70" t="str">
        <x:v>None</x:v>
      </x:c>
      <x:c r="P31" s="70" t="str">
        <x:v>Yes</x:v>
      </x:c>
      <x:c r="Q31" s="71" t="str">
        <x:v>Approved batch API and test tenant</x:v>
      </x:c>
    </x:row>
    <x:row r="32" ht="34" customHeight="1">
      <x:c r="A32" s="69" t="str">
        <x:v>NOVA-0031</x:v>
      </x:c>
      <x:c r="B32" s="85" t="n">
        <x:v>46253.458333333336</x:v>
      </x:c>
      <x:c r="C32" s="70" t="str">
        <x:v>HR Core</x:v>
      </x:c>
      <x:c r="D32" s="70" t="str">
        <x:v>Temporary access</x:v>
      </x:c>
      <x:c r="E32" s="70" t="str">
        <x:v>Standard</x:v>
      </x:c>
      <x:c r="F32" s="70" t="str">
        <x:v>Service desk</x:v>
      </x:c>
      <x:c r="G32" s="70" t="n">
        <x:v>5</x:v>
      </x:c>
      <x:c r="H32" s="70" t="n">
        <x:v>172</x:v>
      </x:c>
      <x:c r="I32" s="70" t="n">
        <x:v>91</x:v>
      </x:c>
      <x:c r="J32" s="70" t="n">
        <x:v>268</x:v>
      </x:c>
      <x:c r="K32" s="70" t="str">
        <x:v>User access confirmed</x:v>
      </x:c>
      <x:c r="L32" s="70" t="n">
        <x:v>4</x:v>
      </x:c>
      <x:c r="M32" s="70" t="str">
        <x:v>Completed</x:v>
      </x:c>
      <x:c r="N32" s="86" t="n">
        <x:v>98.27</x:v>
      </x:c>
      <x:c r="O32" s="70" t="str">
        <x:v>None</x:v>
      </x:c>
      <x:c r="P32" s="70" t="str">
        <x:v>Yes</x:v>
      </x:c>
      <x:c r="Q32" s="71" t="str">
        <x:v>Approved batch API and test tenant</x:v>
      </x:c>
    </x:row>
    <x:row r="33" ht="34" customHeight="1">
      <x:c r="A33" s="69" t="str">
        <x:v>NOVA-0032</x:v>
      </x:c>
      <x:c r="B33" s="85" t="n">
        <x:v>46256.5</x:v>
      </x:c>
      <x:c r="C33" s="70" t="str">
        <x:v>HR Core</x:v>
      </x:c>
      <x:c r="D33" s="70" t="str">
        <x:v>New access</x:v>
      </x:c>
      <x:c r="E33" s="70" t="str">
        <x:v>Standard</x:v>
      </x:c>
      <x:c r="F33" s="70" t="str">
        <x:v>Portal</x:v>
      </x:c>
      <x:c r="G33" s="70" t="n">
        <x:v>5</x:v>
      </x:c>
      <x:c r="H33" s="70" t="n">
        <x:v>190</x:v>
      </x:c>
      <x:c r="I33" s="70" t="n">
        <x:v>105</x:v>
      </x:c>
      <x:c r="J33" s="70" t="n">
        <x:v>300</x:v>
      </x:c>
      <x:c r="K33" s="70" t="str">
        <x:v>Provisioning completed</x:v>
      </x:c>
      <x:c r="L33" s="70" t="n">
        <x:v>1</x:v>
      </x:c>
      <x:c r="M33" s="70" t="str">
        <x:v>Completed</x:v>
      </x:c>
      <x:c r="N33" s="86" t="n">
        <x:v>110</x:v>
      </x:c>
      <x:c r="O33" s="70" t="str">
        <x:v>Different completion definition</x:v>
      </x:c>
      <x:c r="P33" s="70" t="str">
        <x:v>Yes</x:v>
      </x:c>
      <x:c r="Q33" s="71" t="str">
        <x:v>Approved batch API and test tenant</x:v>
      </x:c>
    </x:row>
    <x:row r="34" ht="34" customHeight="1">
      <x:c r="A34" s="69" t="str">
        <x:v>NOVA-0033</x:v>
      </x:c>
      <x:c r="B34" s="85" t="n">
        <x:v>46259.541666666664</x:v>
      </x:c>
      <x:c r="C34" s="70" t="str">
        <x:v>GitHub Enterprise</x:v>
      </x:c>
      <x:c r="D34" s="70" t="str">
        <x:v>Role change</x:v>
      </x:c>
      <x:c r="E34" s="70" t="str">
        <x:v>Standard</x:v>
      </x:c>
      <x:c r="F34" s="70" t="str">
        <x:v>Email</x:v>
      </x:c>
      <x:c r="G34" s="70" t="n">
        <x:v>15</x:v>
      </x:c>
      <x:c r="H34" s="70" t="n">
        <x:v>332</x:v>
      </x:c>
      <x:c r="I34" s="70" t="n">
        <x:v>95</x:v>
      </x:c>
      <x:c r="J34" s="70" t="n">
        <x:v>442</x:v>
      </x:c>
      <x:c r="K34" s="70" t="str">
        <x:v>User access confirmed</x:v>
      </x:c>
      <x:c r="L34" s="70" t="n">
        <x:v>2</x:v>
      </x:c>
      <x:c r="M34" s="70" t="str">
        <x:v>Completed</x:v>
      </x:c>
      <x:c r="N34" s="86" t="n">
        <x:v>117.87</x:v>
      </x:c>
      <x:c r="O34" s="70" t="str">
        <x:v>None</x:v>
      </x:c>
      <x:c r="P34" s="70" t="str">
        <x:v>Yes</x:v>
      </x:c>
      <x:c r="Q34" s="71" t="str">
        <x:v>Approved enterprise app and test organisation</x:v>
      </x:c>
    </x:row>
    <x:row r="35" ht="34" customHeight="1">
      <x:c r="A35" s="69" t="str">
        <x:v>NOVA-0034</x:v>
      </x:c>
      <x:c r="B35" s="85" t="n">
        <x:v>46237.583333333336</x:v>
      </x:c>
      <x:c r="C35" s="70" t="str">
        <x:v>GitHub Enterprise</x:v>
      </x:c>
      <x:c r="D35" s="70" t="str">
        <x:v>Remove access</x:v>
      </x:c>
      <x:c r="E35" s="70" t="str">
        <x:v>Standard</x:v>
      </x:c>
      <x:c r="F35" s="70" t="str">
        <x:v>Teams</x:v>
      </x:c>
      <x:c r="G35" s="70" t="n">
        <x:v>5</x:v>
      </x:c>
      <x:c r="H35" s="70" t="n">
        <x:v>190</x:v>
      </x:c>
      <x:c r="I35" s="70" t="n">
        <x:v>109</x:v>
      </x:c>
      <x:c r="J35" s="70" t="n">
        <x:v>304</x:v>
      </x:c>
      <x:c r="K35" s="70" t="str">
        <x:v>User access confirmed</x:v>
      </x:c>
      <x:c r="L35" s="70" t="n">
        <x:v>3</x:v>
      </x:c>
      <x:c r="M35" s="70" t="str">
        <x:v>Returned for clarification</x:v>
      </x:c>
      <x:c r="N35" s="86" t="n">
        <x:v>81.07</x:v>
      </x:c>
      <x:c r="O35" s="70" t="str">
        <x:v>None</x:v>
      </x:c>
      <x:c r="P35" s="70" t="str">
        <x:v>Yes</x:v>
      </x:c>
      <x:c r="Q35" s="71" t="str">
        <x:v>Approved enterprise app and test organisation</x:v>
      </x:c>
    </x:row>
    <x:row r="36" ht="34" customHeight="1">
      <x:c r="A36" s="69" t="str">
        <x:v>NOVA-0035</x:v>
      </x:c>
      <x:c r="B36" s="85" t="n">
        <x:v>46240.333333333336</x:v>
      </x:c>
      <x:c r="C36" s="70" t="str">
        <x:v>GitHub Enterprise</x:v>
      </x:c>
      <x:c r="D36" s="70" t="str">
        <x:v>Temporary access</x:v>
      </x:c>
      <x:c r="E36" s="70" t="str">
        <x:v>Standard</x:v>
      </x:c>
      <x:c r="F36" s="70" t="str">
        <x:v>Service desk</x:v>
      </x:c>
      <x:c r="G36" s="70" t="n">
        <x:v>35</x:v>
      </x:c>
      <x:c r="H36" s="70" t="n">
        <x:v>82</x:v>
      </x:c>
      <x:c r="I36" s="70" t="n">
        <x:v>123</x:v>
      </x:c>
      <x:c r="J36" s="70" t="n">
        <x:v>240</x:v>
      </x:c>
      <x:c r="K36" s="70" t="str">
        <x:v>User access confirmed</x:v>
      </x:c>
      <x:c r="L36" s="70" t="n">
        <x:v>4</x:v>
      </x:c>
      <x:c r="M36" s="70" t="str">
        <x:v>Completed</x:v>
      </x:c>
      <x:c r="N36" s="86" t="n">
        <x:v>64</x:v>
      </x:c>
      <x:c r="O36" s="70" t="str">
        <x:v>None</x:v>
      </x:c>
      <x:c r="P36" s="70" t="str">
        <x:v>Yes</x:v>
      </x:c>
      <x:c r="Q36" s="71" t="str">
        <x:v>Approved enterprise app and test organisation</x:v>
      </x:c>
    </x:row>
    <x:row r="37" ht="34" customHeight="1">
      <x:c r="A37" s="69" t="str">
        <x:v>NOVA-0036</x:v>
      </x:c>
      <x:c r="B37" s="85" t="n">
        <x:v>46243.375</x:v>
      </x:c>
      <x:c r="C37" s="70" t="str">
        <x:v>GitHub Enterprise</x:v>
      </x:c>
      <x:c r="D37" s="70" t="str">
        <x:v>New access</x:v>
      </x:c>
      <x:c r="E37" s="70" t="str">
        <x:v>Standard</x:v>
      </x:c>
      <x:c r="F37" s="70" t="str">
        <x:v>Portal</x:v>
      </x:c>
      <x:c r="G37" s="70" t="n">
        <x:v>15</x:v>
      </x:c>
      <x:c r="H37" s="70" t="n">
        <x:v>100</x:v>
      </x:c>
      <x:c r="I37" s="70" t="n">
        <x:v>53</x:v>
      </x:c>
      <x:c r="J37" s="70" t="n">
        <x:v>168</x:v>
      </x:c>
      <x:c r="K37" s="70" t="str">
        <x:v>Provisioning completed</x:v>
      </x:c>
      <x:c r="L37" s="70" t="n">
        <x:v>1</x:v>
      </x:c>
      <x:c r="M37" s="70" t="str">
        <x:v>Completed</x:v>
      </x:c>
      <x:c r="N37" s="86" t="n">
        <x:v>44.8</x:v>
      </x:c>
      <x:c r="O37" s="70" t="str">
        <x:v>Different completion definition</x:v>
      </x:c>
      <x:c r="P37" s="70" t="str">
        <x:v>Yes</x:v>
      </x:c>
      <x:c r="Q37" s="71" t="str">
        <x:v>Approved enterprise app and test organisation</x:v>
      </x:c>
    </x:row>
    <x:row r="38" ht="34" customHeight="1">
      <x:c r="A38" s="69" t="str">
        <x:v>NOVA-0037</x:v>
      </x:c>
      <x:c r="B38" s="85" t="n">
        <x:v>46246.416666666664</x:v>
      </x:c>
      <x:c r="C38" s="70" t="str">
        <x:v>GitHub Enterprise</x:v>
      </x:c>
      <x:c r="D38" s="70" t="str">
        <x:v>Role change</x:v>
      </x:c>
      <x:c r="E38" s="70" t="str">
        <x:v>Standard</x:v>
      </x:c>
      <x:c r="F38" s="70" t="str">
        <x:v>Email</x:v>
      </x:c>
      <x:c r="G38" s="70" t="n">
        <x:v>5</x:v>
      </x:c>
      <x:c r="H38" s="70" t="n">
        <x:v>118</x:v>
      </x:c>
      <x:c r="I38" s="70" t="n">
        <x:v>67</x:v>
      </x:c>
      <x:c r="J38" s="70" t="n">
        <x:v>190</x:v>
      </x:c>
      <x:c r="K38" s="70" t="str">
        <x:v>User access confirmed</x:v>
      </x:c>
      <x:c r="L38" s="70" t="n">
        <x:v>2</x:v>
      </x:c>
      <x:c r="M38" s="70" t="str">
        <x:v>Completed</x:v>
      </x:c>
      <x:c r="N38" s="86" t="n">
        <x:v>50.67</x:v>
      </x:c>
      <x:c r="O38" s="70" t="str">
        <x:v>None</x:v>
      </x:c>
      <x:c r="P38" s="70" t="str">
        <x:v>Yes</x:v>
      </x:c>
      <x:c r="Q38" s="71" t="str">
        <x:v>Approved enterprise app and test organisation</x:v>
      </x:c>
    </x:row>
    <x:row r="39" ht="34" customHeight="1">
      <x:c r="A39" s="69" t="str">
        <x:v>NOVA-0038</x:v>
      </x:c>
      <x:c r="B39" s="85" t="n">
        <x:v>46249.458333333336</x:v>
      </x:c>
      <x:c r="C39" s="70" t="str">
        <x:v>GitHub Enterprise</x:v>
      </x:c>
      <x:c r="D39" s="70" t="str">
        <x:v>Remove access</x:v>
      </x:c>
      <x:c r="E39" s="70" t="str">
        <x:v>Standard</x:v>
      </x:c>
      <x:c r="F39" s="70" t="str">
        <x:v>Teams</x:v>
      </x:c>
      <x:c r="G39" s="70" t="n">
        <x:v>5</x:v>
      </x:c>
      <x:c r="H39" s="70" t="n">
        <x:v>136</x:v>
      </x:c>
      <x:c r="I39" s="70" t="n">
        <x:v>81</x:v>
      </x:c>
      <x:c r="J39" s="70" t="n">
        <x:v>222</x:v>
      </x:c>
      <x:c r="K39" s="70" t="str">
        <x:v>User access confirmed</x:v>
      </x:c>
      <x:c r="L39" s="70" t="n">
        <x:v>3</x:v>
      </x:c>
      <x:c r="M39" s="70" t="str">
        <x:v>Rejected</x:v>
      </x:c>
      <x:c r="N39" s="86" t="n">
        <x:v>59.2</x:v>
      </x:c>
      <x:c r="O39" s="70" t="str">
        <x:v>None</x:v>
      </x:c>
      <x:c r="P39" s="70" t="str">
        <x:v>Yes</x:v>
      </x:c>
      <x:c r="Q39" s="71" t="str">
        <x:v>Approved enterprise app and test organisation</x:v>
      </x:c>
    </x:row>
    <x:row r="40" ht="34" customHeight="1">
      <x:c r="A40" s="69" t="str">
        <x:v>NOVA-0039</x:v>
      </x:c>
      <x:c r="B40" s="85" t="n">
        <x:v>46252.5</x:v>
      </x:c>
      <x:c r="C40" s="70" t="str">
        <x:v>GitHub Enterprise</x:v>
      </x:c>
      <x:c r="D40" s="70" t="str">
        <x:v>Temporary access</x:v>
      </x:c>
      <x:c r="E40" s="70" t="str">
        <x:v>Standard</x:v>
      </x:c>
      <x:c r="F40" s="70" t="str">
        <x:v>Service desk</x:v>
      </x:c>
      <x:c r="G40" s="70" t="n">
        <x:v>15</x:v>
      </x:c>
      <x:c r="H40" s="70" t="n">
        <x:v>154</x:v>
      </x:c>
      <x:c r="I40" s="70" t="n">
        <x:v>95</x:v>
      </x:c>
      <x:c r="J40" s="70" t="n">
        <x:v>264</x:v>
      </x:c>
      <x:c r="K40" s="70" t="str">
        <x:v>User access confirmed</x:v>
      </x:c>
      <x:c r="L40" s="70" t="n">
        <x:v>4</x:v>
      </x:c>
      <x:c r="M40" s="70" t="str">
        <x:v>Completed</x:v>
      </x:c>
      <x:c r="N40" s="86" t="n">
        <x:v>70.4</x:v>
      </x:c>
      <x:c r="O40" s="70" t="str">
        <x:v>None</x:v>
      </x:c>
      <x:c r="P40" s="70" t="str">
        <x:v>Yes</x:v>
      </x:c>
      <x:c r="Q40" s="71" t="str">
        <x:v>Approved enterprise app and test organisation</x:v>
      </x:c>
    </x:row>
    <x:row r="41" ht="34" customHeight="1">
      <x:c r="A41" s="69" t="str">
        <x:v>NOVA-0040</x:v>
      </x:c>
      <x:c r="B41" s="85" t="n">
        <x:v>46255.541666666664</x:v>
      </x:c>
      <x:c r="C41" s="70" t="str">
        <x:v>GitHub Enterprise</x:v>
      </x:c>
      <x:c r="D41" s="70" t="str">
        <x:v>New access</x:v>
      </x:c>
      <x:c r="E41" s="70" t="str">
        <x:v>Privileged</x:v>
      </x:c>
      <x:c r="F41" s="70" t="str">
        <x:v>Portal</x:v>
      </x:c>
      <x:c r="G41" s="70" t="n">
        <x:v>35</x:v>
      </x:c>
      <x:c r="H41" s="70" t="n">
        <x:v>172</x:v>
      </x:c>
      <x:c r="I41" s="70" t="n">
        <x:v>109</x:v>
      </x:c>
      <x:c r="J41" s="70" t="n">
        <x:v>316</x:v>
      </x:c>
      <x:c r="K41" s="70" t="str">
        <x:v>Provisioning completed</x:v>
      </x:c>
      <x:c r="L41" s="70" t="n">
        <x:v>1</x:v>
      </x:c>
      <x:c r="M41" s="70" t="str">
        <x:v>Completed</x:v>
      </x:c>
      <x:c r="N41" s="86" t="n">
        <x:v>84.27</x:v>
      </x:c>
      <x:c r="O41" s="70" t="str">
        <x:v>Different completion definition</x:v>
      </x:c>
      <x:c r="P41" s="70" t="str">
        <x:v>Yes</x:v>
      </x:c>
      <x:c r="Q41" s="71" t="str">
        <x:v>Approved enterprise app and test organisation</x:v>
      </x:c>
    </x:row>
    <x:row r="42" ht="34" customHeight="1">
      <x:c r="A42" s="69" t="str">
        <x:v>NOVA-0041</x:v>
      </x:c>
      <x:c r="B42" s="85" t="n">
        <x:v>46258.583333333336</x:v>
      </x:c>
      <x:c r="C42" s="70" t="str">
        <x:v>GitHub Enterprise</x:v>
      </x:c>
      <x:c r="D42" s="70" t="str">
        <x:v>Role change</x:v>
      </x:c>
      <x:c r="E42" s="70" t="str">
        <x:v>Standard</x:v>
      </x:c>
      <x:c r="F42" s="70" t="str">
        <x:v>Email</x:v>
      </x:c>
      <x:c r="G42" s="70" t="n">
        <x:v>5</x:v>
      </x:c>
      <x:c r="H42" s="70" t="n">
        <x:v>190</x:v>
      </x:c>
      <x:c r="I42" s="70" t="n">
        <x:v>123</x:v>
      </x:c>
      <x:c r="J42" s="70" t="n">
        <x:v>318</x:v>
      </x:c>
      <x:c r="K42" s="70" t="str">
        <x:v>User access confirmed</x:v>
      </x:c>
      <x:c r="L42" s="70" t="n">
        <x:v>2</x:v>
      </x:c>
      <x:c r="M42" s="70" t="str">
        <x:v>Completed</x:v>
      </x:c>
      <x:c r="N42" s="86" t="n">
        <x:v>84.8</x:v>
      </x:c>
      <x:c r="O42" s="70" t="str">
        <x:v>Privileged request labelled Standard</x:v>
      </x:c>
      <x:c r="P42" s="70" t="str">
        <x:v>Yes</x:v>
      </x:c>
      <x:c r="Q42" s="71" t="str">
        <x:v>Approved enterprise app and test organisation</x:v>
      </x:c>
    </x:row>
    <x:row r="43" ht="34" customHeight="1">
      <x:c r="A43" s="69" t="str">
        <x:v>NOVA-0042</x:v>
      </x:c>
      <x:c r="B43" s="85" t="n">
        <x:v>46236.333333333336</x:v>
      </x:c>
      <x:c r="C43" s="70" t="str">
        <x:v>GitHub Enterprise</x:v>
      </x:c>
      <x:c r="D43" s="70" t="str">
        <x:v>Remove access</x:v>
      </x:c>
      <x:c r="E43" s="70" t="str">
        <x:v>Standard</x:v>
      </x:c>
      <x:c r="F43" s="70" t="str">
        <x:v>Teams</x:v>
      </x:c>
      <x:c r="G43" s="70" t="n">
        <x:v>15</x:v>
      </x:c>
      <x:c r="H43" s="70" t="n">
        <x:v>82</x:v>
      </x:c>
      <x:c r="I43" s="70" t="n">
        <x:v>53</x:v>
      </x:c>
      <x:c r="J43" s="70" t="n">
        <x:v>150</x:v>
      </x:c>
      <x:c r="K43" s="70" t="str">
        <x:v>User access confirmed</x:v>
      </x:c>
      <x:c r="L43" s="70" t="n">
        <x:v>3</x:v>
      </x:c>
      <x:c r="M43" s="70" t="str">
        <x:v>Completed</x:v>
      </x:c>
      <x:c r="N43" s="86" t="n">
        <x:v>40</x:v>
      </x:c>
      <x:c r="O43" s="70" t="str">
        <x:v>None</x:v>
      </x:c>
      <x:c r="P43" s="70" t="str">
        <x:v>Yes</x:v>
      </x:c>
      <x:c r="Q43" s="71" t="str">
        <x:v>Approved enterprise app and test organisation</x:v>
      </x:c>
    </x:row>
    <x:row r="44" ht="34" customHeight="1">
      <x:c r="A44" s="69" t="str">
        <x:v>NOVA-0043</x:v>
      </x:c>
      <x:c r="B44" s="85" t="n">
        <x:v>46239.375</x:v>
      </x:c>
      <x:c r="C44" s="70" t="str">
        <x:v>GitHub Enterprise</x:v>
      </x:c>
      <x:c r="D44" s="70" t="str">
        <x:v>Temporary access</x:v>
      </x:c>
      <x:c r="E44" s="70" t="str">
        <x:v>Standard</x:v>
      </x:c>
      <x:c r="F44" s="70" t="str">
        <x:v>Service desk</x:v>
      </x:c>
      <x:c r="G44" s="70" t="n">
        <x:v>5</x:v>
      </x:c>
      <x:c r="H44" s="70" t="n">
        <x:v>100</x:v>
      </x:c>
      <x:c r="I44" s="70" t="n">
        <x:v>67</x:v>
      </x:c>
      <x:c r="J44" s="70" t="n">
        <x:v>172</x:v>
      </x:c>
      <x:c r="K44" s="70" t="str">
        <x:v>User access confirmed</x:v>
      </x:c>
      <x:c r="L44" s="70" t="n">
        <x:v>4</x:v>
      </x:c>
      <x:c r="M44" s="70" t="str">
        <x:v>Completed</x:v>
      </x:c>
      <x:c r="N44" s="86" t="n">
        <x:v>45.87</x:v>
      </x:c>
      <x:c r="O44" s="70" t="str">
        <x:v>None</x:v>
      </x:c>
      <x:c r="P44" s="70" t="str">
        <x:v>Yes</x:v>
      </x:c>
      <x:c r="Q44" s="71" t="str">
        <x:v>Approved enterprise app and test organisation</x:v>
      </x:c>
    </x:row>
    <x:row r="45" ht="34" customHeight="1">
      <x:c r="A45" s="69" t="str">
        <x:v>NOVA-0044</x:v>
      </x:c>
      <x:c r="B45" s="85" t="n">
        <x:v>46242.416666666664</x:v>
      </x:c>
      <x:c r="C45" s="70" t="str">
        <x:v>GitHub Enterprise</x:v>
      </x:c>
      <x:c r="D45" s="70" t="str">
        <x:v>New access</x:v>
      </x:c>
      <x:c r="E45" s="70" t="str">
        <x:v>Standard</x:v>
      </x:c>
      <x:c r="F45" s="70" t="str">
        <x:v>Portal</x:v>
      </x:c>
      <x:c r="G45" s="70" t="n">
        <x:v>5</x:v>
      </x:c>
      <x:c r="H45" s="70" t="n">
        <x:v>278</x:v>
      </x:c>
      <x:c r="I45" s="70" t="n">
        <x:v>81</x:v>
      </x:c>
      <x:c r="J45" s="70" t="n">
        <x:v>364</x:v>
      </x:c>
      <x:c r="K45" s="70" t="str">
        <x:v>Provisioning completed</x:v>
      </x:c>
      <x:c r="L45" s="70" t="n">
        <x:v>1</x:v>
      </x:c>
      <x:c r="M45" s="70" t="str">
        <x:v>Completed</x:v>
      </x:c>
      <x:c r="N45" s="86" t="n">
        <x:v>97.07</x:v>
      </x:c>
      <x:c r="O45" s="70" t="str">
        <x:v>Different completion definition</x:v>
      </x:c>
      <x:c r="P45" s="70" t="str">
        <x:v>Yes</x:v>
      </x:c>
      <x:c r="Q45" s="71" t="str">
        <x:v>Approved enterprise app and test organisation</x:v>
      </x:c>
    </x:row>
    <x:row r="46" ht="34" customHeight="1">
      <x:c r="A46" s="69" t="str">
        <x:v>NOVA-0045</x:v>
      </x:c>
      <x:c r="B46" s="85" t="n">
        <x:v>46245.458333333336</x:v>
      </x:c>
      <x:c r="C46" s="70" t="str">
        <x:v>GitHub Enterprise</x:v>
      </x:c>
      <x:c r="D46" s="70" t="str">
        <x:v>Role change</x:v>
      </x:c>
      <x:c r="E46" s="70" t="str">
        <x:v>Standard</x:v>
      </x:c>
      <x:c r="F46" s="70" t="str">
        <x:v>Email</x:v>
      </x:c>
      <x:c r="G46" s="70" t="n">
        <x:v>35</x:v>
      </x:c>
      <x:c r="H46" s="70" t="n">
        <x:v>136</x:v>
      </x:c>
      <x:c r="I46" s="70" t="n">
        <x:v>95</x:v>
      </x:c>
      <x:c r="J46" s="70" t="n">
        <x:v>266</x:v>
      </x:c>
      <x:c r="K46" s="70" t="str">
        <x:v>User access confirmed</x:v>
      </x:c>
      <x:c r="L46" s="70" t="n">
        <x:v>2</x:v>
      </x:c>
      <x:c r="M46" s="70" t="str">
        <x:v>Completed</x:v>
      </x:c>
      <x:c r="N46" s="86" t="n">
        <x:v>70.93</x:v>
      </x:c>
      <x:c r="O46" s="70" t="str">
        <x:v>None</x:v>
      </x:c>
      <x:c r="P46" s="70" t="str">
        <x:v>Yes</x:v>
      </x:c>
      <x:c r="Q46" s="71" t="str">
        <x:v>Approved enterprise app and test organisation</x:v>
      </x:c>
    </x:row>
    <x:row r="47" ht="34" customHeight="1">
      <x:c r="A47" s="69" t="str">
        <x:v>NOVA-0046</x:v>
      </x:c>
      <x:c r="B47" s="85" t="n">
        <x:v>46248.5</x:v>
      </x:c>
      <x:c r="C47" s="70" t="str">
        <x:v>GitHub Enterprise</x:v>
      </x:c>
      <x:c r="D47" s="70" t="str">
        <x:v>Remove access</x:v>
      </x:c>
      <x:c r="E47" s="70" t="str">
        <x:v>Standard</x:v>
      </x:c>
      <x:c r="F47" s="70" t="str">
        <x:v>Teams</x:v>
      </x:c>
      <x:c r="G47" s="70" t="n">
        <x:v>5</x:v>
      </x:c>
      <x:c r="H47" s="70" t="n">
        <x:v>154</x:v>
      </x:c>
      <x:c r="I47" s="70" t="n">
        <x:v>109</x:v>
      </x:c>
      <x:c r="J47" s="70" t="n">
        <x:v>268</x:v>
      </x:c>
      <x:c r="K47" s="70" t="str">
        <x:v>User access confirmed</x:v>
      </x:c>
      <x:c r="L47" s="70" t="n">
        <x:v>3</x:v>
      </x:c>
      <x:c r="M47" s="70" t="str">
        <x:v>Completed</x:v>
      </x:c>
      <x:c r="N47" s="86" t="n">
        <x:v>71.47</x:v>
      </x:c>
      <x:c r="O47" s="70" t="str">
        <x:v>None</x:v>
      </x:c>
      <x:c r="P47" s="70" t="str">
        <x:v>Yes</x:v>
      </x:c>
      <x:c r="Q47" s="71" t="str">
        <x:v>Approved enterprise app and test organisation</x:v>
      </x:c>
    </x:row>
    <x:row r="48" ht="34" customHeight="1">
      <x:c r="A48" s="69" t="str">
        <x:v>NOVA-0047</x:v>
      </x:c>
      <x:c r="B48" s="85" t="n">
        <x:v>46251.541666666664</x:v>
      </x:c>
      <x:c r="C48" s="70" t="str">
        <x:v>FinanceHub</x:v>
      </x:c>
      <x:c r="D48" s="70" t="str">
        <x:v>Temporary access</x:v>
      </x:c>
      <x:c r="E48" s="70" t="str">
        <x:v>Standard</x:v>
      </x:c>
      <x:c r="F48" s="70" t="str">
        <x:v>Service desk</x:v>
      </x:c>
      <x:c r="G48" s="70" t="n">
        <x:v>20</x:v>
      </x:c>
      <x:c r="H48" s="70" t="n">
        <x:v>275</x:v>
      </x:c>
      <x:c r="I48" s="70" t="n">
        <x:v>245</x:v>
      </x:c>
      <x:c r="J48" s="70" t="n">
        <x:v>540</x:v>
      </x:c>
      <x:c r="K48" s="70" t="str">
        <x:v>User access confirmed</x:v>
      </x:c>
      <x:c r="L48" s="70" t="n">
        <x:v>5</x:v>
      </x:c>
      <x:c r="M48" s="70" t="str">
        <x:v>Completed</x:v>
      </x:c>
      <x:c r="N48" s="86" t="n">
        <x:v>306</x:v>
      </x:c>
      <x:c r="O48" s="70" t="str">
        <x:v>None</x:v>
      </x:c>
      <x:c r="P48" s="70" t="str">
        <x:v>No</x:v>
      </x:c>
      <x:c r="Q48" s="71" t="str">
        <x:v>No approved real-time API; security review open</x:v>
      </x:c>
    </x:row>
    <x:row r="49" ht="34" customHeight="1">
      <x:c r="A49" s="69" t="str">
        <x:v>NOVA-0048</x:v>
      </x:c>
      <x:c r="B49" s="85" t="n">
        <x:v>46254.583333333336</x:v>
      </x:c>
      <x:c r="C49" s="70" t="str">
        <x:v>FinanceHub</x:v>
      </x:c>
      <x:c r="D49" s="70" t="str">
        <x:v>New access</x:v>
      </x:c>
      <x:c r="E49" s="70" t="str">
        <x:v>Standard</x:v>
      </x:c>
      <x:c r="F49" s="70" t="str">
        <x:v>Portal</x:v>
      </x:c>
      <x:c r="G49" s="70" t="n">
        <x:v>30</x:v>
      </x:c>
      <x:c r="H49" s="70" t="n">
        <x:v>293</x:v>
      </x:c>
      <x:c r="I49" s="70" t="n">
        <x:v>175</x:v>
      </x:c>
      <x:c r="J49" s="70" t="n">
        <x:v>498</x:v>
      </x:c>
      <x:c r="K49" s="70" t="str">
        <x:v>Provisioning completed</x:v>
      </x:c>
      <x:c r="L49" s="70" t="n">
        <x:v>2</x:v>
      </x:c>
      <x:c r="M49" s="70" t="str">
        <x:v>Completed</x:v>
      </x:c>
      <x:c r="N49" s="86" t="n">
        <x:v>282.2</x:v>
      </x:c>
      <x:c r="O49" s="70" t="str">
        <x:v>Different completion definition</x:v>
      </x:c>
      <x:c r="P49" s="70" t="str">
        <x:v>No</x:v>
      </x:c>
      <x:c r="Q49" s="71" t="str">
        <x:v>No approved real-time API; security review open</x:v>
      </x:c>
    </x:row>
    <x:row r="50" ht="34" customHeight="1">
      <x:c r="A50" s="69" t="str">
        <x:v>NOVA-0049</x:v>
      </x:c>
      <x:c r="B50" s="85" t="n">
        <x:v>46257.333333333336</x:v>
      </x:c>
      <x:c r="C50" s="70" t="str">
        <x:v>FinanceHub</x:v>
      </x:c>
      <x:c r="D50" s="70" t="str">
        <x:v>Role change</x:v>
      </x:c>
      <x:c r="E50" s="70" t="str">
        <x:v>Standard</x:v>
      </x:c>
      <x:c r="F50" s="70" t="str">
        <x:v>Email</x:v>
      </x:c>
      <x:c r="G50" s="70" t="n">
        <x:v>20</x:v>
      </x:c>
      <x:c r="H50" s="70" t="n">
        <x:v>185</x:v>
      </x:c>
      <x:c r="I50" s="70" t="n">
        <x:v>189</x:v>
      </x:c>
      <x:c r="J50" s="70" t="n">
        <x:v>394</x:v>
      </x:c>
      <x:c r="K50" s="70" t="str">
        <x:v>User access confirmed</x:v>
      </x:c>
      <x:c r="L50" s="70" t="n">
        <x:v>3</x:v>
      </x:c>
      <x:c r="M50" s="70" t="str">
        <x:v>Completed</x:v>
      </x:c>
      <x:c r="N50" s="86" t="n">
        <x:v>223.27</x:v>
      </x:c>
      <x:c r="O50" s="70" t="str">
        <x:v>None</x:v>
      </x:c>
      <x:c r="P50" s="70" t="str">
        <x:v>No</x:v>
      </x:c>
      <x:c r="Q50" s="71" t="str">
        <x:v>No approved real-time API; security review open</x:v>
      </x:c>
    </x:row>
    <x:row r="51" ht="34" customHeight="1">
      <x:c r="A51" s="69" t="str">
        <x:v>NOVA-0050</x:v>
      </x:c>
      <x:c r="B51" s="85" t="n">
        <x:v>46235.375</x:v>
      </x:c>
      <x:c r="C51" s="70" t="str">
        <x:v>FinanceHub</x:v>
      </x:c>
      <x:c r="D51" s="70" t="str">
        <x:v>Remove access</x:v>
      </x:c>
      <x:c r="E51" s="70" t="str">
        <x:v>Privileged</x:v>
      </x:c>
      <x:c r="F51" s="70" t="str">
        <x:v>Teams</x:v>
      </x:c>
      <x:c r="G51" s="70" t="n">
        <x:v>50</x:v>
      </x:c>
      <x:c r="H51" s="70" t="n">
        <x:v>203</x:v>
      </x:c>
      <x:c r="I51" s="70" t="n">
        <x:v>203</x:v>
      </x:c>
      <x:c r="J51" s="70" t="n">
        <x:v>456</x:v>
      </x:c>
      <x:c r="K51" s="70" t="str">
        <x:v>User access confirmed</x:v>
      </x:c>
      <x:c r="L51" s="70" t="n">
        <x:v>4</x:v>
      </x:c>
      <x:c r="M51" s="70" t="str">
        <x:v>Completed</x:v>
      </x:c>
      <x:c r="N51" s="86" t="n">
        <x:v>258.4</x:v>
      </x:c>
      <x:c r="O51" s="70" t="str">
        <x:v>None</x:v>
      </x:c>
      <x:c r="P51" s="70" t="str">
        <x:v>No</x:v>
      </x:c>
      <x:c r="Q51" s="71" t="str">
        <x:v>No approved real-time API; security review open</x:v>
      </x:c>
    </x:row>
    <x:row r="52" ht="34" customHeight="1">
      <x:c r="A52" s="69" t="str">
        <x:v>NOVA-0051</x:v>
      </x:c>
      <x:c r="B52" s="85" t="n">
        <x:v>46238.416666666664</x:v>
      </x:c>
      <x:c r="C52" s="70" t="str">
        <x:v>FinanceHub</x:v>
      </x:c>
      <x:c r="D52" s="70" t="str">
        <x:v>Temporary access</x:v>
      </x:c>
      <x:c r="E52" s="70" t="str">
        <x:v>Standard</x:v>
      </x:c>
      <x:c r="F52" s="70" t="str">
        <x:v>Service desk</x:v>
      </x:c>
      <x:c r="G52" s="70" t="n">
        <x:v>30</x:v>
      </x:c>
      <x:c r="H52" s="70" t="n">
        <x:v>221</x:v>
      </x:c>
      <x:c r="I52" s="70" t="n">
        <x:v>217</x:v>
      </x:c>
      <x:c r="J52" s="70" t="n">
        <x:v>468</x:v>
      </x:c>
      <x:c r="K52" s="70" t="str">
        <x:v>User access confirmed</x:v>
      </x:c>
      <x:c r="L52" s="70" t="n">
        <x:v>5</x:v>
      </x:c>
      <x:c r="M52" s="70" t="str">
        <x:v>Returned for clarification</x:v>
      </x:c>
      <x:c r="N52" s="86" t="n">
        <x:v>265.2</x:v>
      </x:c>
      <x:c r="O52" s="70" t="str">
        <x:v>None</x:v>
      </x:c>
      <x:c r="P52" s="70" t="str">
        <x:v>No</x:v>
      </x:c>
      <x:c r="Q52" s="71" t="str">
        <x:v>No approved real-time API; security review open</x:v>
      </x:c>
    </x:row>
    <x:row r="53" ht="34" customHeight="1">
      <x:c r="A53" s="69" t="str">
        <x:v>NOVA-0052</x:v>
      </x:c>
      <x:c r="B53" s="85" t="n">
        <x:v>46241.458333333336</x:v>
      </x:c>
      <x:c r="C53" s="70" t="str">
        <x:v>FinanceHub</x:v>
      </x:c>
      <x:c r="D53" s="70" t="str">
        <x:v>New access</x:v>
      </x:c>
      <x:c r="E53" s="70" t="str">
        <x:v>Standard</x:v>
      </x:c>
      <x:c r="F53" s="70" t="str">
        <x:v>Portal</x:v>
      </x:c>
      <x:c r="G53" s="70" t="n">
        <x:v>20</x:v>
      </x:c>
      <x:c r="H53" s="70" t="n">
        <x:v>239</x:v>
      </x:c>
      <x:c r="I53" s="70" t="n">
        <x:v>231</x:v>
      </x:c>
      <x:c r="J53" s="70" t="n">
        <x:v>490</x:v>
      </x:c>
      <x:c r="K53" s="70" t="str">
        <x:v>Provisioning completed</x:v>
      </x:c>
      <x:c r="L53" s="70" t="n">
        <x:v>2</x:v>
      </x:c>
      <x:c r="M53" s="70" t="str">
        <x:v>Completed</x:v>
      </x:c>
      <x:c r="N53" s="86" t="n">
        <x:v>277.67</x:v>
      </x:c>
      <x:c r="O53" s="70" t="str">
        <x:v>Different completion definition</x:v>
      </x:c>
      <x:c r="P53" s="70" t="str">
        <x:v>No</x:v>
      </x:c>
      <x:c r="Q53" s="71" t="str">
        <x:v>No approved real-time API; security review open</x:v>
      </x:c>
    </x:row>
    <x:row r="54" ht="34" customHeight="1">
      <x:c r="A54" s="69" t="str">
        <x:v>NOVA-0053</x:v>
      </x:c>
      <x:c r="B54" s="85" t="n">
        <x:v>46244.5</x:v>
      </x:c>
      <x:c r="C54" s="70" t="str">
        <x:v>FinanceHub</x:v>
      </x:c>
      <x:c r="D54" s="70" t="str">
        <x:v>Role change</x:v>
      </x:c>
      <x:c r="E54" s="70" t="str">
        <x:v>Standard</x:v>
      </x:c>
      <x:c r="F54" s="70" t="str">
        <x:v>Email</x:v>
      </x:c>
      <x:c r="G54" s="70" t="n">
        <x:v>20</x:v>
      </x:c>
      <x:c r="H54" s="70" t="n">
        <x:v>257</x:v>
      </x:c>
      <x:c r="I54" s="70" t="n">
        <x:v>245</x:v>
      </x:c>
      <x:c r="J54" s="70" t="n">
        <x:v>522</x:v>
      </x:c>
      <x:c r="K54" s="70" t="str">
        <x:v>User access confirmed</x:v>
      </x:c>
      <x:c r="L54" s="70" t="n">
        <x:v>3</x:v>
      </x:c>
      <x:c r="M54" s="70" t="str">
        <x:v>Completed</x:v>
      </x:c>
      <x:c r="N54" s="86" t="n">
        <x:v>295.8</x:v>
      </x:c>
      <x:c r="O54" s="70" t="str">
        <x:v>None</x:v>
      </x:c>
      <x:c r="P54" s="70" t="str">
        <x:v>No</x:v>
      </x:c>
      <x:c r="Q54" s="71" t="str">
        <x:v>No approved real-time API; security review open</x:v>
      </x:c>
    </x:row>
    <x:row r="55" ht="34" customHeight="1">
      <x:c r="A55" s="69" t="str">
        <x:v>NOVA-0054</x:v>
      </x:c>
      <x:c r="B55" s="85" t="n">
        <x:v>46247.541666666664</x:v>
      </x:c>
      <x:c r="C55" s="70" t="str">
        <x:v>FinanceHub</x:v>
      </x:c>
      <x:c r="D55" s="70" t="str">
        <x:v>Remove access</x:v>
      </x:c>
      <x:c r="E55" s="70" t="str">
        <x:v>Admin</x:v>
      </x:c>
      <x:c r="F55" s="70" t="str">
        <x:v>Teams</x:v>
      </x:c>
      <x:c r="G55" s="70" t="n">
        <x:v>30</x:v>
      </x:c>
      <x:c r="H55" s="70" t="n">
        <x:v>275</x:v>
      </x:c>
      <x:c r="I55" s="70" t="n">
        <x:v>175</x:v>
      </x:c>
      <x:c r="J55" s="70" t="n">
        <x:v>480</x:v>
      </x:c>
      <x:c r="K55" s="70" t="str">
        <x:v>User access confirmed</x:v>
      </x:c>
      <x:c r="L55" s="70" t="n">
        <x:v>4</x:v>
      </x:c>
      <x:c r="M55" s="70" t="str">
        <x:v>Completed</x:v>
      </x:c>
      <x:c r="N55" s="86" t="n">
        <x:v>272</x:v>
      </x:c>
      <x:c r="O55" s="70" t="str">
        <x:v>None</x:v>
      </x:c>
      <x:c r="P55" s="70" t="str">
        <x:v>No</x:v>
      </x:c>
      <x:c r="Q55" s="71" t="str">
        <x:v>No approved real-time API; security review open</x:v>
      </x:c>
    </x:row>
    <x:row r="56" ht="34" customHeight="1">
      <x:c r="A56" s="69" t="str">
        <x:v>NOVA-0055</x:v>
      </x:c>
      <x:c r="B56" s="85" t="n">
        <x:v>46250.583333333336</x:v>
      </x:c>
      <x:c r="C56" s="70" t="str">
        <x:v>FinanceHub</x:v>
      </x:c>
      <x:c r="D56" s="70" t="str">
        <x:v>Temporary access</x:v>
      </x:c>
      <x:c r="E56" s="70" t="str">
        <x:v>Standard</x:v>
      </x:c>
      <x:c r="F56" s="70" t="str">
        <x:v>Service desk</x:v>
      </x:c>
      <x:c r="G56" s="70" t="n">
        <x:v>50</x:v>
      </x:c>
      <x:c r="H56" s="70" t="n">
        <x:v>453</x:v>
      </x:c>
      <x:c r="I56" s="70" t="n">
        <x:v>189</x:v>
      </x:c>
      <x:c r="J56" s="70" t="n">
        <x:v>692</x:v>
      </x:c>
      <x:c r="K56" s="70" t="str">
        <x:v>User access confirmed</x:v>
      </x:c>
      <x:c r="L56" s="70" t="n">
        <x:v>5</x:v>
      </x:c>
      <x:c r="M56" s="70" t="str">
        <x:v>Completed</x:v>
      </x:c>
      <x:c r="N56" s="86" t="n">
        <x:v>392.13</x:v>
      </x:c>
      <x:c r="O56" s="70" t="str">
        <x:v>None</x:v>
      </x:c>
      <x:c r="P56" s="70" t="str">
        <x:v>No</x:v>
      </x:c>
      <x:c r="Q56" s="71" t="str">
        <x:v>No approved real-time API; security review open</x:v>
      </x:c>
    </x:row>
    <x:row r="57" ht="34" customHeight="1">
      <x:c r="A57" s="69" t="str">
        <x:v>NOVA-0056</x:v>
      </x:c>
      <x:c r="B57" s="85" t="n">
        <x:v>46253.333333333336</x:v>
      </x:c>
      <x:c r="C57" s="70" t="str">
        <x:v>FinanceHub</x:v>
      </x:c>
      <x:c r="D57" s="70" t="str">
        <x:v>New access</x:v>
      </x:c>
      <x:c r="E57" s="70" t="str">
        <x:v>Standard</x:v>
      </x:c>
      <x:c r="F57" s="70" t="str">
        <x:v>Portal</x:v>
      </x:c>
      <x:c r="G57" s="70" t="n">
        <x:v>20</x:v>
      </x:c>
      <x:c r="H57" s="70" t="n">
        <x:v>185</x:v>
      </x:c>
      <x:c r="I57" s="70" t="n">
        <x:v>203</x:v>
      </x:c>
      <x:c r="J57" s="70" t="n">
        <x:v>408</x:v>
      </x:c>
      <x:c r="K57" s="70" t="str">
        <x:v>Provisioning completed</x:v>
      </x:c>
      <x:c r="L57" s="70" t="n">
        <x:v>2</x:v>
      </x:c>
      <x:c r="M57" s="70" t="str">
        <x:v>Completed</x:v>
      </x:c>
      <x:c r="N57" s="86" t="n">
        <x:v>231.2</x:v>
      </x:c>
      <x:c r="O57" s="70" t="str">
        <x:v>Different completion definition</x:v>
      </x:c>
      <x:c r="P57" s="70" t="str">
        <x:v>No</x:v>
      </x:c>
      <x:c r="Q57" s="71" t="str">
        <x:v>No approved real-time API; security review open</x:v>
      </x:c>
    </x:row>
    <x:row r="58" ht="34" customHeight="1">
      <x:c r="A58" s="69" t="str">
        <x:v>NOVA-0057</x:v>
      </x:c>
      <x:c r="B58" s="85" t="n">
        <x:v>46256.375</x:v>
      </x:c>
      <x:c r="C58" s="70" t="str">
        <x:v>FinanceHub</x:v>
      </x:c>
      <x:c r="D58" s="70" t="str">
        <x:v>Role change</x:v>
      </x:c>
      <x:c r="E58" s="70" t="str">
        <x:v>Standard</x:v>
      </x:c>
      <x:c r="F58" s="70" t="str">
        <x:v>Email</x:v>
      </x:c>
      <x:c r="G58" s="70" t="n">
        <x:v>30</x:v>
      </x:c>
      <x:c r="H58" s="70" t="n">
        <x:v>203</x:v>
      </x:c>
      <x:c r="I58" s="70" t="n">
        <x:v>217</x:v>
      </x:c>
      <x:c r="J58" s="70" t="n">
        <x:v>450</x:v>
      </x:c>
      <x:c r="K58" s="70" t="str">
        <x:v>User access confirmed</x:v>
      </x:c>
      <x:c r="L58" s="70" t="n">
        <x:v>3</x:v>
      </x:c>
      <x:c r="M58" s="70" t="str">
        <x:v>Rejected</x:v>
      </x:c>
      <x:c r="N58" s="86" t="n">
        <x:v>255</x:v>
      </x:c>
      <x:c r="O58" s="70" t="str">
        <x:v>None</x:v>
      </x:c>
      <x:c r="P58" s="70" t="str">
        <x:v>No</x:v>
      </x:c>
      <x:c r="Q58" s="71" t="str">
        <x:v>No approved real-time API; security review open</x:v>
      </x:c>
    </x:row>
    <x:row r="59" ht="34" customHeight="1">
      <x:c r="A59" s="69" t="str">
        <x:v>NOVA-0058</x:v>
      </x:c>
      <x:c r="B59" s="85" t="n">
        <x:v>46259.416666666664</x:v>
      </x:c>
      <x:c r="C59" s="70" t="str">
        <x:v>FinanceHub</x:v>
      </x:c>
      <x:c r="D59" s="70" t="str">
        <x:v>Remove access</x:v>
      </x:c>
      <x:c r="E59" s="70" t="str">
        <x:v>Standard</x:v>
      </x:c>
      <x:c r="F59" s="70" t="str">
        <x:v>Teams</x:v>
      </x:c>
      <x:c r="G59" s="70" t="n">
        <x:v>20</x:v>
      </x:c>
      <x:c r="H59" s="70" t="n">
        <x:v>221</x:v>
      </x:c>
      <x:c r="I59" s="70" t="n">
        <x:v>231</x:v>
      </x:c>
      <x:c r="J59" s="70" t="n">
        <x:v>472</x:v>
      </x:c>
      <x:c r="K59" s="70" t="str">
        <x:v>User access confirmed</x:v>
      </x:c>
      <x:c r="L59" s="70" t="n">
        <x:v>4</x:v>
      </x:c>
      <x:c r="M59" s="70" t="str">
        <x:v>Completed</x:v>
      </x:c>
      <x:c r="N59" s="86" t="n">
        <x:v>267.47</x:v>
      </x:c>
      <x:c r="O59" s="70" t="str">
        <x:v>None</x:v>
      </x:c>
      <x:c r="P59" s="70" t="str">
        <x:v>No</x:v>
      </x:c>
      <x:c r="Q59" s="71" t="str">
        <x:v>No approved real-time API; security review open</x:v>
      </x:c>
    </x:row>
    <x:row r="60" ht="34" customHeight="1">
      <x:c r="A60" s="69" t="str">
        <x:v>NOVA-0059</x:v>
      </x:c>
      <x:c r="B60" s="85" t="n">
        <x:v>46237.458333333336</x:v>
      </x:c>
      <x:c r="C60" s="70" t="str">
        <x:v>FinanceHub</x:v>
      </x:c>
      <x:c r="D60" s="70" t="str">
        <x:v>Temporary access</x:v>
      </x:c>
      <x:c r="E60" s="70" t="str">
        <x:v>Standard</x:v>
      </x:c>
      <x:c r="F60" s="70" t="str">
        <x:v>Service desk</x:v>
      </x:c>
      <x:c r="G60" s="70" t="n">
        <x:v>20</x:v>
      </x:c>
      <x:c r="H60" s="70" t="n">
        <x:v>239</x:v>
      </x:c>
      <x:c r="I60" s="70" t="n">
        <x:v>245</x:v>
      </x:c>
      <x:c r="J60" s="70" t="n">
        <x:v>504</x:v>
      </x:c>
      <x:c r="K60" s="70" t="str">
        <x:v>User access confirmed</x:v>
      </x:c>
      <x:c r="L60" s="70" t="n">
        <x:v>5</x:v>
      </x:c>
      <x:c r="M60" s="70" t="str">
        <x:v>Completed</x:v>
      </x:c>
      <x:c r="N60" s="86" t="n">
        <x:v>285.6</x:v>
      </x:c>
      <x:c r="O60" s="70" t="str">
        <x:v>None</x:v>
      </x:c>
      <x:c r="P60" s="70" t="str">
        <x:v>No</x:v>
      </x:c>
      <x:c r="Q60" s="71" t="str">
        <x:v>No approved real-time API; security review open</x:v>
      </x:c>
    </x:row>
    <x:row r="61" ht="34" customHeight="1">
      <x:c r="A61" s="69" t="str">
        <x:v>NOVA-0060</x:v>
      </x:c>
      <x:c r="B61" s="85" t="n">
        <x:v>46240.5</x:v>
      </x:c>
      <x:c r="C61" s="70" t="str">
        <x:v>FinanceHub</x:v>
      </x:c>
      <x:c r="D61" s="70" t="str">
        <x:v>New access</x:v>
      </x:c>
      <x:c r="E61" s="70" t="str">
        <x:v>Privileged</x:v>
      </x:c>
      <x:c r="F61" s="70" t="str">
        <x:v>Portal</x:v>
      </x:c>
      <x:c r="G61" s="70" t="n">
        <x:v>50</x:v>
      </x:c>
      <x:c r="H61" s="70" t="n">
        <x:v>257</x:v>
      </x:c>
      <x:c r="I61" s="70" t="n">
        <x:v>175</x:v>
      </x:c>
      <x:c r="J61" s="70" t="n">
        <x:v>482</x:v>
      </x:c>
      <x:c r="K61" s="70" t="str">
        <x:v>Provisioning completed</x:v>
      </x:c>
      <x:c r="L61" s="70" t="n">
        <x:v>2</x:v>
      </x:c>
      <x:c r="M61" s="70" t="str">
        <x:v>Completed</x:v>
      </x:c>
      <x:c r="N61" s="86" t="n">
        <x:v>273.13</x:v>
      </x:c>
      <x:c r="O61" s="70" t="str">
        <x:v>Different completion definition</x:v>
      </x:c>
      <x:c r="P61" s="70" t="str">
        <x:v>No</x:v>
      </x:c>
      <x:c r="Q61" s="71" t="str">
        <x:v>No approved real-time API; security review open</x:v>
      </x:c>
    </x:row>
    <x:row r="62" ht="34" customHeight="1">
      <x:c r="A62" s="69" t="str">
        <x:v>NOVA-0061</x:v>
      </x:c>
      <x:c r="B62" s="85" t="n">
        <x:v>46243.541666666664</x:v>
      </x:c>
      <x:c r="C62" s="70" t="str">
        <x:v>FinanceHub</x:v>
      </x:c>
      <x:c r="D62" s="70" t="str">
        <x:v>Role change</x:v>
      </x:c>
      <x:c r="E62" s="70" t="str">
        <x:v>Standard</x:v>
      </x:c>
      <x:c r="F62" s="70" t="str">
        <x:v>Email</x:v>
      </x:c>
      <x:c r="G62" s="70" t="n">
        <x:v>20</x:v>
      </x:c>
      <x:c r="H62" s="70" t="n">
        <x:v>275</x:v>
      </x:c>
      <x:c r="I62" s="70" t="n">
        <x:v>189</x:v>
      </x:c>
      <x:c r="J62" s="70" t="n">
        <x:v>484</x:v>
      </x:c>
      <x:c r="K62" s="70" t="str">
        <x:v>User access confirmed</x:v>
      </x:c>
      <x:c r="L62" s="70" t="n">
        <x:v>3</x:v>
      </x:c>
      <x:c r="M62" s="70" t="str">
        <x:v>Completed</x:v>
      </x:c>
      <x:c r="N62" s="86" t="n">
        <x:v>274.27</x:v>
      </x:c>
      <x:c r="O62" s="70" t="str">
        <x:v>None</x:v>
      </x:c>
      <x:c r="P62" s="70" t="str">
        <x:v>No</x:v>
      </x:c>
      <x:c r="Q62" s="71" t="str">
        <x:v>No approved real-time API; security review open</x:v>
      </x:c>
    </x:row>
    <x:row r="63" ht="34" customHeight="1">
      <x:c r="A63" s="69" t="str">
        <x:v>NOVA-0062</x:v>
      </x:c>
      <x:c r="B63" s="85" t="n">
        <x:v>46246.583333333336</x:v>
      </x:c>
      <x:c r="C63" s="70" t="str">
        <x:v>FinanceHub</x:v>
      </x:c>
      <x:c r="D63" s="70" t="str">
        <x:v>Remove access</x:v>
      </x:c>
      <x:c r="E63" s="70" t="str">
        <x:v>Standard</x:v>
      </x:c>
      <x:c r="F63" s="70" t="str">
        <x:v>Teams</x:v>
      </x:c>
      <x:c r="G63" s="70" t="n">
        <x:v>20</x:v>
      </x:c>
      <x:c r="H63" s="70" t="n">
        <x:v>293</x:v>
      </x:c>
      <x:c r="I63" s="70" t="n">
        <x:v>203</x:v>
      </x:c>
      <x:c r="J63" s="70" t="n">
        <x:v>516</x:v>
      </x:c>
      <x:c r="K63" s="70" t="str">
        <x:v>User access confirmed</x:v>
      </x:c>
      <x:c r="L63" s="70" t="n">
        <x:v>4</x:v>
      </x:c>
      <x:c r="M63" s="70" t="str">
        <x:v>Completed</x:v>
      </x:c>
      <x:c r="N63" s="86" t="n">
        <x:v>292.4</x:v>
      </x:c>
      <x:c r="O63" s="70" t="str">
        <x:v>None</x:v>
      </x:c>
      <x:c r="P63" s="70" t="str">
        <x:v>No</x:v>
      </x:c>
      <x:c r="Q63" s="71" t="str">
        <x:v>No approved real-time API; security review open</x:v>
      </x:c>
    </x:row>
    <x:row r="64" ht="34" customHeight="1">
      <x:c r="A64" s="69" t="str">
        <x:v>NOVA-0063</x:v>
      </x:c>
      <x:c r="B64" s="85" t="n">
        <x:v>46249.333333333336</x:v>
      </x:c>
      <x:c r="C64" s="70" t="str">
        <x:v>FinanceHub</x:v>
      </x:c>
      <x:c r="D64" s="70" t="str">
        <x:v>Temporary access</x:v>
      </x:c>
      <x:c r="E64" s="70" t="str">
        <x:v>Standard</x:v>
      </x:c>
      <x:c r="F64" s="70" t="str">
        <x:v>Service desk</x:v>
      </x:c>
      <x:c r="G64" s="70" t="n">
        <x:v>30</x:v>
      </x:c>
      <x:c r="H64" s="70" t="n">
        <x:v>185</x:v>
      </x:c>
      <x:c r="I64" s="70" t="n">
        <x:v>217</x:v>
      </x:c>
      <x:c r="J64" s="70" t="n">
        <x:v>432</x:v>
      </x:c>
      <x:c r="K64" s="70" t="str">
        <x:v>User access confirmed</x:v>
      </x:c>
      <x:c r="L64" s="70" t="n">
        <x:v>5</x:v>
      </x:c>
      <x:c r="M64" s="70" t="str">
        <x:v>Completed</x:v>
      </x:c>
      <x:c r="N64" s="86" t="n">
        <x:v>244.8</x:v>
      </x:c>
      <x:c r="O64" s="70" t="str">
        <x:v>None</x:v>
      </x:c>
      <x:c r="P64" s="70" t="str">
        <x:v>No</x:v>
      </x:c>
      <x:c r="Q64" s="71" t="str">
        <x:v>No approved real-time API; security review open</x:v>
      </x:c>
    </x:row>
    <x:row r="65" ht="34" customHeight="1">
      <x:c r="A65" s="69" t="str">
        <x:v>NOVA-0064</x:v>
      </x:c>
      <x:c r="B65" s="85" t="n">
        <x:v>46252.375</x:v>
      </x:c>
      <x:c r="C65" s="70" t="str">
        <x:v>FinanceHub</x:v>
      </x:c>
      <x:c r="D65" s="70" t="str">
        <x:v>New access</x:v>
      </x:c>
      <x:c r="E65" s="70" t="str">
        <x:v>Standard</x:v>
      </x:c>
      <x:c r="F65" s="70" t="str">
        <x:v>Portal</x:v>
      </x:c>
      <x:c r="G65" s="70" t="n">
        <x:v>20</x:v>
      </x:c>
      <x:c r="H65" s="70" t="n">
        <x:v>203</x:v>
      </x:c>
      <x:c r="I65" s="70" t="n">
        <x:v>231</x:v>
      </x:c>
      <x:c r="J65" s="70" t="n">
        <x:v>454</x:v>
      </x:c>
      <x:c r="K65" s="70" t="str">
        <x:v>Provisioning completed</x:v>
      </x:c>
      <x:c r="L65" s="70" t="n">
        <x:v>2</x:v>
      </x:c>
      <x:c r="M65" s="70" t="str">
        <x:v>Completed</x:v>
      </x:c>
      <x:c r="N65" s="86" t="n">
        <x:v>257.27</x:v>
      </x:c>
      <x:c r="O65" s="70" t="str">
        <x:v>Different completion definition</x:v>
      </x:c>
      <x:c r="P65" s="70" t="str">
        <x:v>No</x:v>
      </x:c>
      <x:c r="Q65" s="71" t="str">
        <x:v>No approved real-time API; security review open</x:v>
      </x:c>
    </x:row>
    <x:row r="66" ht="34" customHeight="1">
      <x:c r="A66" s="69" t="str">
        <x:v>NOVA-0065</x:v>
      </x:c>
      <x:c r="B66" s="85" t="n">
        <x:v>46255.416666666664</x:v>
      </x:c>
      <x:c r="C66" s="70" t="str">
        <x:v>FinanceHub</x:v>
      </x:c>
      <x:c r="D66" s="70" t="str">
        <x:v>Role change</x:v>
      </x:c>
      <x:c r="E66" s="70" t="str">
        <x:v>Standard</x:v>
      </x:c>
      <x:c r="F66" s="70" t="str">
        <x:v>Email</x:v>
      </x:c>
      <x:c r="G66" s="70" t="n">
        <x:v>50</x:v>
      </x:c>
      <x:c r="H66" s="70" t="n">
        <x:v>221</x:v>
      </x:c>
      <x:c r="I66" s="70" t="n">
        <x:v>245</x:v>
      </x:c>
      <x:c r="J66" s="70" t="n">
        <x:v>516</x:v>
      </x:c>
      <x:c r="K66" s="70" t="str">
        <x:v>User access confirmed</x:v>
      </x:c>
      <x:c r="L66" s="70" t="n">
        <x:v>3</x:v>
      </x:c>
      <x:c r="M66" s="70" t="str">
        <x:v>Completed</x:v>
      </x:c>
      <x:c r="N66" s="86" t="n">
        <x:v>292.4</x:v>
      </x:c>
      <x:c r="O66" s="70" t="str">
        <x:v>None</x:v>
      </x:c>
      <x:c r="P66" s="70" t="str">
        <x:v>No</x:v>
      </x:c>
      <x:c r="Q66" s="71" t="str">
        <x:v>No approved real-time API; security review open</x:v>
      </x:c>
    </x:row>
    <x:row r="67" ht="34" customHeight="1">
      <x:c r="A67" s="69" t="str">
        <x:v>NOVA-0066</x:v>
      </x:c>
      <x:c r="B67" s="85" t="n">
        <x:v>46258.458333333336</x:v>
      </x:c>
      <x:c r="C67" s="70" t="str">
        <x:v>FinanceHub</x:v>
      </x:c>
      <x:c r="D67" s="70" t="str">
        <x:v>Remove access</x:v>
      </x:c>
      <x:c r="E67" s="70" t="str">
        <x:v>Standard</x:v>
      </x:c>
      <x:c r="F67" s="70" t="str">
        <x:v>Teams</x:v>
      </x:c>
      <x:c r="G67" s="70" t="n">
        <x:v>30</x:v>
      </x:c>
      <x:c r="H67" s="70" t="n">
        <x:v>399</x:v>
      </x:c>
      <x:c r="I67" s="70" t="n">
        <x:v>175</x:v>
      </x:c>
      <x:c r="J67" s="70" t="n">
        <x:v>604</x:v>
      </x:c>
      <x:c r="K67" s="70" t="str">
        <x:v>User access confirmed</x:v>
      </x:c>
      <x:c r="L67" s="70" t="n">
        <x:v>4</x:v>
      </x:c>
      <x:c r="M67" s="70" t="str">
        <x:v>Completed</x:v>
      </x:c>
      <x:c r="N67" s="86" t="n">
        <x:v>342.27</x:v>
      </x:c>
      <x:c r="O67" s="70" t="str">
        <x:v>None</x:v>
      </x:c>
      <x:c r="P67" s="70" t="str">
        <x:v>No</x:v>
      </x:c>
      <x:c r="Q67" s="71" t="str">
        <x:v>No approved real-time API; security review open</x:v>
      </x:c>
    </x:row>
    <x:row r="68" ht="34" customHeight="1">
      <x:c r="A68" s="69" t="str">
        <x:v>NOVA-0067</x:v>
      </x:c>
      <x:c r="B68" s="85" t="n">
        <x:v>46236.5</x:v>
      </x:c>
      <x:c r="C68" s="70" t="str">
        <x:v>FinanceHub</x:v>
      </x:c>
      <x:c r="D68" s="70" t="str">
        <x:v>Temporary access</x:v>
      </x:c>
      <x:c r="E68" s="70" t="str">
        <x:v>Standard</x:v>
      </x:c>
      <x:c r="F68" s="70" t="str">
        <x:v>Service desk</x:v>
      </x:c>
      <x:c r="G68" s="70" t="n">
        <x:v>20</x:v>
      </x:c>
      <x:c r="H68" s="70" t="n">
        <x:v>257</x:v>
      </x:c>
      <x:c r="I68" s="70" t="n">
        <x:v>189</x:v>
      </x:c>
      <x:c r="J68" s="70" t="n">
        <x:v>466</x:v>
      </x:c>
      <x:c r="K68" s="70" t="str">
        <x:v>User access confirmed</x:v>
      </x:c>
      <x:c r="L68" s="70" t="n">
        <x:v>5</x:v>
      </x:c>
      <x:c r="M68" s="70" t="str">
        <x:v>Completed</x:v>
      </x:c>
      <x:c r="N68" s="86" t="n">
        <x:v>264.07</x:v>
      </x:c>
      <x:c r="O68" s="70" t="str">
        <x:v>None</x:v>
      </x:c>
      <x:c r="P68" s="70" t="str">
        <x:v>No</x:v>
      </x:c>
      <x:c r="Q68" s="71" t="str">
        <x:v>No approved real-time API; security review open</x:v>
      </x:c>
    </x:row>
    <x:row r="69" ht="34" customHeight="1">
      <x:c r="A69" s="69" t="str">
        <x:v>NOVA-0067</x:v>
      </x:c>
      <x:c r="B69" s="85" t="n">
        <x:v>46239.541666666664</x:v>
      </x:c>
      <x:c r="C69" s="70" t="str">
        <x:v>FinanceHub</x:v>
      </x:c>
      <x:c r="D69" s="70" t="str">
        <x:v>New access</x:v>
      </x:c>
      <x:c r="E69" s="70" t="str">
        <x:v>Standard</x:v>
      </x:c>
      <x:c r="F69" s="70" t="str">
        <x:v>Portal</x:v>
      </x:c>
      <x:c r="G69" s="70" t="n">
        <x:v>20</x:v>
      </x:c>
      <x:c r="H69" s="70" t="n">
        <x:v>275</x:v>
      </x:c>
      <x:c r="I69" s="70" t="n">
        <x:v>203</x:v>
      </x:c>
      <x:c r="J69" s="70" t="n">
        <x:v>498</x:v>
      </x:c>
      <x:c r="K69" s="70" t="str">
        <x:v>Provisioning completed</x:v>
      </x:c>
      <x:c r="L69" s="70" t="n">
        <x:v>2</x:v>
      </x:c>
      <x:c r="M69" s="70" t="str">
        <x:v>Returned for clarification</x:v>
      </x:c>
      <x:c r="N69" s="86" t="n">
        <x:v>282.2</x:v>
      </x:c>
      <x:c r="O69" s="70" t="str">
        <x:v>Duplicate request ID; Different completion definition</x:v>
      </x:c>
      <x:c r="P69" s="70" t="str">
        <x:v>No</x:v>
      </x:c>
      <x:c r="Q69" s="71" t="str">
        <x:v>No approved real-time API; security review open</x:v>
      </x:c>
    </x:row>
    <x:row r="70" ht="34" customHeight="1">
      <x:c r="A70" s="69" t="str">
        <x:v>NOVA-0069</x:v>
      </x:c>
      <x:c r="B70" s="85" t="n">
        <x:v>46242.583333333336</x:v>
      </x:c>
      <x:c r="C70" s="70" t="str">
        <x:v>FinanceHub</x:v>
      </x:c>
      <x:c r="D70" s="70" t="str">
        <x:v>Role change</x:v>
      </x:c>
      <x:c r="E70" s="70" t="str">
        <x:v>Standard</x:v>
      </x:c>
      <x:c r="F70" s="70" t="str">
        <x:v>Email</x:v>
      </x:c>
      <x:c r="G70" s="70" t="n">
        <x:v>30</x:v>
      </x:c>
      <x:c r="H70" s="70" t="n">
        <x:v>293</x:v>
      </x:c>
      <x:c r="I70" s="70" t="n">
        <x:v>217</x:v>
      </x:c>
      <x:c r="J70" s="70" t="n">
        <x:v>540</x:v>
      </x:c>
      <x:c r="K70" s="70" t="str">
        <x:v>User access confirmed</x:v>
      </x:c>
      <x:c r="L70" s="70" t="n">
        <x:v>3</x:v>
      </x:c>
      <x:c r="M70" s="70" t="str">
        <x:v>Completed</x:v>
      </x:c>
      <x:c r="N70" s="86" t="n">
        <x:v>306</x:v>
      </x:c>
      <x:c r="O70" s="70" t="str">
        <x:v>None</x:v>
      </x:c>
      <x:c r="P70" s="70" t="str">
        <x:v>No</x:v>
      </x:c>
      <x:c r="Q70" s="71" t="str">
        <x:v>No approved real-time API; security review open</x:v>
      </x:c>
    </x:row>
    <x:row r="71" ht="34" customHeight="1">
      <x:c r="A71" s="69" t="str">
        <x:v>NOVA-0070</x:v>
      </x:c>
      <x:c r="B71" s="85" t="n">
        <x:v>46245.333333333336</x:v>
      </x:c>
      <x:c r="C71" s="70" t="str">
        <x:v>FinanceHub</x:v>
      </x:c>
      <x:c r="D71" s="70" t="str">
        <x:v>Remove access</x:v>
      </x:c>
      <x:c r="E71" s="70" t="str">
        <x:v>Privileged</x:v>
      </x:c>
      <x:c r="F71" s="70" t="str">
        <x:v>Teams</x:v>
      </x:c>
      <x:c r="G71" s="70" t="n">
        <x:v>50</x:v>
      </x:c>
      <x:c r="H71" s="70" t="n">
        <x:v>185</x:v>
      </x:c>
      <x:c r="I71" s="70" t="n">
        <x:v>231</x:v>
      </x:c>
      <x:c r="J71" s="70" t="n">
        <x:v>466</x:v>
      </x:c>
      <x:c r="K71" s="70" t="str">
        <x:v>User access confirmed</x:v>
      </x:c>
      <x:c r="L71" s="70" t="n">
        <x:v>4</x:v>
      </x:c>
      <x:c r="M71" s="70" t="str">
        <x:v>Completed</x:v>
      </x:c>
      <x:c r="N71" s="86" t="n">
        <x:v>264.07</x:v>
      </x:c>
      <x:c r="O71" s="70" t="str">
        <x:v>None</x:v>
      </x:c>
      <x:c r="P71" s="70" t="str">
        <x:v>No</x:v>
      </x:c>
      <x:c r="Q71" s="71" t="str">
        <x:v>No approved real-time API; security review open</x:v>
      </x:c>
    </x:row>
    <x:row r="72" ht="34" customHeight="1">
      <x:c r="A72" s="69" t="str">
        <x:v>NOVA-0071</x:v>
      </x:c>
      <x:c r="B72" s="85" t="n">
        <x:v>46248.375</x:v>
      </x:c>
      <x:c r="C72" s="70" t="str">
        <x:v>FinanceHub</x:v>
      </x:c>
      <x:c r="D72" s="70" t="str">
        <x:v>Temporary access</x:v>
      </x:c>
      <x:c r="E72" s="70" t="str">
        <x:v>Standard</x:v>
      </x:c>
      <x:c r="F72" s="70" t="str">
        <x:v>Service desk</x:v>
      </x:c>
      <x:c r="G72" s="70" t="n">
        <x:v>20</x:v>
      </x:c>
      <x:c r="H72" s="70" t="n">
        <x:v>203</x:v>
      </x:c>
      <x:c r="I72" s="70" t="n">
        <x:v>245</x:v>
      </x:c>
      <x:c r="J72" s="70" t="n">
        <x:v>468</x:v>
      </x:c>
      <x:c r="K72" s="70" t="str">
        <x:v>User access confirmed</x:v>
      </x:c>
      <x:c r="L72" s="70" t="n">
        <x:v>5</x:v>
      </x:c>
      <x:c r="M72" s="70" t="str">
        <x:v>Completed</x:v>
      </x:c>
      <x:c r="N72" s="86" t="n">
        <x:v>265.2</x:v>
      </x:c>
      <x:c r="O72" s="70" t="str">
        <x:v>None</x:v>
      </x:c>
      <x:c r="P72" s="70" t="str">
        <x:v>No</x:v>
      </x:c>
      <x:c r="Q72" s="71" t="str">
        <x:v>No approved real-time API; security review open</x:v>
      </x:c>
    </x:row>
    <x:row r="73" ht="34" customHeight="1">
      <x:c r="A73" s="69" t="str">
        <x:v>NOVA-0072</x:v>
      </x:c>
      <x:c r="B73" s="85" t="n">
        <x:v>46251.416666666664</x:v>
      </x:c>
      <x:c r="C73" s="70" t="str">
        <x:v>FinanceHub</x:v>
      </x:c>
      <x:c r="D73" s="70" t="str">
        <x:v>New access</x:v>
      </x:c>
      <x:c r="E73" s="70" t="str">
        <x:v>Standard</x:v>
      </x:c>
      <x:c r="F73" s="70" t="str">
        <x:v>Portal</x:v>
      </x:c>
      <x:c r="G73" s="70" t="n">
        <x:v>30</x:v>
      </x:c>
      <x:c r="H73" s="70" t="n">
        <x:v>221</x:v>
      </x:c>
      <x:c r="I73" s="70" t="n">
        <x:v>175</x:v>
      </x:c>
      <x:c r="J73" s="70" t="n">
        <x:v>426</x:v>
      </x:c>
      <x:c r="K73" s="70" t="str">
        <x:v>Provisioning completed</x:v>
      </x:c>
      <x:c r="L73" s="70" t="n">
        <x:v>2</x:v>
      </x:c>
      <x:c r="M73" s="70" t="str">
        <x:v>Completed</x:v>
      </x:c>
      <x:c r="N73" s="86" t="n">
        <x:v>241.4</x:v>
      </x:c>
      <x:c r="O73" s="70" t="str">
        <x:v>Different completion definition</x:v>
      </x:c>
      <x:c r="P73" s="70" t="str">
        <x:v>No</x:v>
      </x:c>
      <x:c r="Q73" s="71" t="str">
        <x:v>No approved real-time API; security review open</x:v>
      </x:c>
    </x:row>
    <x:row r="74" ht="34" customHeight="1">
      <x:c r="A74" s="69" t="str">
        <x:v>NOVA-0073</x:v>
      </x:c>
      <x:c r="B74" s="85" t="n">
        <x:v>46254.458333333336</x:v>
      </x:c>
      <x:c r="C74" s="70" t="str">
        <x:v>FinanceHub</x:v>
      </x:c>
      <x:c r="D74" s="70" t="str">
        <x:v>Role change</x:v>
      </x:c>
      <x:c r="E74" s="70" t="str">
        <x:v>Standard</x:v>
      </x:c>
      <x:c r="F74" s="70" t="str">
        <x:v>Email</x:v>
      </x:c>
      <x:c r="G74" s="70" t="n">
        <x:v>20</x:v>
      </x:c>
      <x:c r="H74" s="70" t="n">
        <x:v>239</x:v>
      </x:c>
      <x:c r="I74" s="70" t="n">
        <x:v>189</x:v>
      </x:c>
      <x:c r="J74" s="70" t="n">
        <x:v>448</x:v>
      </x:c>
      <x:c r="K74" s="70" t="str">
        <x:v>User access confirmed</x:v>
      </x:c>
      <x:c r="L74" s="70" t="n">
        <x:v>3</x:v>
      </x:c>
      <x:c r="M74" s="70" t="str">
        <x:v>Completed</x:v>
      </x:c>
      <x:c r="N74" s="86" t="n">
        <x:v>253.87</x:v>
      </x:c>
      <x:c r="O74" s="70" t="str">
        <x:v>None</x:v>
      </x:c>
      <x:c r="P74" s="70" t="str">
        <x:v>No</x:v>
      </x:c>
      <x:c r="Q74" s="71" t="str">
        <x:v>No approved real-time API; security review open</x:v>
      </x:c>
    </x:row>
    <x:row r="75" ht="34" customHeight="1">
      <x:c r="A75" s="69" t="str">
        <x:v>NOVA-0074</x:v>
      </x:c>
      <x:c r="B75" s="85" t="n">
        <x:v>46257.5</x:v>
      </x:c>
      <x:c r="C75" s="70" t="str">
        <x:v>FinanceHub</x:v>
      </x:c>
      <x:c r="D75" s="70" t="str">
        <x:v>Remove access</x:v>
      </x:c>
      <x:c r="E75" s="70" t="str">
        <x:v>Standard</x:v>
      </x:c>
      <x:c r="F75" s="70" t="str">
        <x:v>Teams</x:v>
      </x:c>
      <x:c r="G75" s="70" t="n">
        <x:v>20</x:v>
      </x:c>
      <x:c r="H75" s="70" t="n">
        <x:v>257</x:v>
      </x:c>
      <x:c r="I75" s="70" t="n">
        <x:v>203</x:v>
      </x:c>
      <x:c r="J75" s="70" t="n">
        <x:v>480</x:v>
      </x:c>
      <x:c r="K75" s="70" t="str">
        <x:v>User access confirmed</x:v>
      </x:c>
      <x:c r="L75" s="70" t="n">
        <x:v>4</x:v>
      </x:c>
      <x:c r="M75" s="70" t="str">
        <x:v>Completed</x:v>
      </x:c>
      <x:c r="N75" s="86" t="n">
        <x:v>272</x:v>
      </x:c>
      <x:c r="O75" s="70" t="str">
        <x:v>None</x:v>
      </x:c>
      <x:c r="P75" s="70" t="str">
        <x:v>No</x:v>
      </x:c>
      <x:c r="Q75" s="71" t="str">
        <x:v>No approved real-time API; security review open</x:v>
      </x:c>
    </x:row>
    <x:row r="76" ht="34" customHeight="1">
      <x:c r="A76" s="69" t="str">
        <x:v>NOVA-0075</x:v>
      </x:c>
      <x:c r="B76" s="85" t="n">
        <x:v>46235.541666666664</x:v>
      </x:c>
      <x:c r="C76" s="70" t="str">
        <x:v>FinanceHub</x:v>
      </x:c>
      <x:c r="D76" s="70" t="str">
        <x:v>Temporary access</x:v>
      </x:c>
      <x:c r="E76" s="70" t="str">
        <x:v>Standard</x:v>
      </x:c>
      <x:c r="F76" s="70" t="str">
        <x:v>Service desk</x:v>
      </x:c>
      <x:c r="G76" s="70" t="n">
        <x:v>50</x:v>
      </x:c>
      <x:c r="H76" s="70" t="n">
        <x:v>275</x:v>
      </x:c>
      <x:c r="I76" s="70" t="n">
        <x:v>217</x:v>
      </x:c>
      <x:c r="J76" s="70" t="n">
        <x:v>542</x:v>
      </x:c>
      <x:c r="K76" s="70" t="str">
        <x:v>User access confirmed</x:v>
      </x:c>
      <x:c r="L76" s="70" t="n">
        <x:v>5</x:v>
      </x:c>
      <x:c r="M76" s="70" t="str">
        <x:v>Completed</x:v>
      </x:c>
      <x:c r="N76" s="86" t="n">
        <x:v>307.13</x:v>
      </x:c>
      <x:c r="O76" s="70" t="str">
        <x:v>None</x:v>
      </x:c>
      <x:c r="P76" s="70" t="str">
        <x:v>No</x:v>
      </x:c>
      <x:c r="Q76" s="71" t="str">
        <x:v>No approved real-time API; security review open</x:v>
      </x:c>
    </x:row>
    <x:row r="77" ht="34" customHeight="1">
      <x:c r="A77" s="69" t="str">
        <x:v>NOVA-0076</x:v>
      </x:c>
      <x:c r="B77" s="85" t="n">
        <x:v>46238.583333333336</x:v>
      </x:c>
      <x:c r="C77" s="70" t="str">
        <x:v>FinanceHub</x:v>
      </x:c>
      <x:c r="D77" s="70" t="str">
        <x:v>New access</x:v>
      </x:c>
      <x:c r="E77" s="70" t="str">
        <x:v>Standard</x:v>
      </x:c>
      <x:c r="F77" s="70" t="str">
        <x:v>Portal</x:v>
      </x:c>
      <x:c r="G77" s="70" t="n">
        <x:v>20</x:v>
      </x:c>
      <x:c r="H77" s="70" t="n">
        <x:v>293</x:v>
      </x:c>
      <x:c r="I77" s="70" t="n">
        <x:v>231</x:v>
      </x:c>
      <x:c r="J77" s="70" t="n">
        <x:v>544</x:v>
      </x:c>
      <x:c r="K77" s="70" t="str">
        <x:v>Provisioning completed</x:v>
      </x:c>
      <x:c r="L77" s="70" t="n">
        <x:v>2</x:v>
      </x:c>
      <x:c r="M77" s="70" t="str">
        <x:v>Rejected</x:v>
      </x:c>
      <x:c r="N77" s="86" t="n">
        <x:v>308.27</x:v>
      </x:c>
      <x:c r="O77" s="70" t="str">
        <x:v>Different completion definition</x:v>
      </x:c>
      <x:c r="P77" s="70" t="str">
        <x:v>No</x:v>
      </x:c>
      <x:c r="Q77" s="71" t="str">
        <x:v>No approved real-time API; security review open</x:v>
      </x:c>
    </x:row>
    <x:row r="78" ht="34" customHeight="1">
      <x:c r="A78" s="69" t="str">
        <x:v>NOVA-0077</x:v>
      </x:c>
      <x:c r="B78" s="85" t="n">
        <x:v>46241.333333333336</x:v>
      </x:c>
      <x:c r="C78" s="70" t="str">
        <x:v>FinanceHub</x:v>
      </x:c>
      <x:c r="D78" s="70" t="str">
        <x:v>Role change</x:v>
      </x:c>
      <x:c r="E78" s="70" t="str">
        <x:v>Standard</x:v>
      </x:c>
      <x:c r="F78" s="70" t="str">
        <x:v>Email</x:v>
      </x:c>
      <x:c r="G78" s="70" t="n">
        <x:v>20</x:v>
      </x:c>
      <x:c r="H78" s="70" t="n">
        <x:v>345</x:v>
      </x:c>
      <x:c r="I78" s="70" t="n">
        <x:v>245</x:v>
      </x:c>
      <x:c r="J78" s="70" t="n">
        <x:v>610</x:v>
      </x:c>
      <x:c r="K78" s="70" t="str">
        <x:v>User access confirmed</x:v>
      </x:c>
      <x:c r="L78" s="70" t="n">
        <x:v>3</x:v>
      </x:c>
      <x:c r="M78" s="70" t="str">
        <x:v>Completed</x:v>
      </x:c>
      <x:c r="N78" s="86" t="n">
        <x:v>345.67</x:v>
      </x:c>
      <x:c r="O78" s="70" t="str">
        <x:v>None</x:v>
      </x:c>
      <x:c r="P78" s="70" t="str">
        <x:v>No</x:v>
      </x:c>
      <x:c r="Q78" s="71" t="str">
        <x:v>No approved real-time API; security review open</x:v>
      </x:c>
    </x:row>
    <x:row r="79" ht="34" customHeight="1">
      <x:c r="A79" s="69" t="str">
        <x:v>NOVA-0078</x:v>
      </x:c>
      <x:c r="B79" s="85" t="n">
        <x:v>46244.375</x:v>
      </x:c>
      <x:c r="C79" s="70" t="str">
        <x:v>FinanceHub</x:v>
      </x:c>
      <x:c r="D79" s="70" t="str">
        <x:v>Remove access</x:v>
      </x:c>
      <x:c r="E79" s="70" t="str">
        <x:v>Standard</x:v>
      </x:c>
      <x:c r="F79" s="70" t="str">
        <x:v>Teams</x:v>
      </x:c>
      <x:c r="G79" s="70" t="n">
        <x:v>30</x:v>
      </x:c>
      <x:c r="H79" s="70" t="n">
        <x:v>203</x:v>
      </x:c>
      <x:c r="I79" s="70" t="n">
        <x:v>175</x:v>
      </x:c>
      <x:c r="J79" s="70" t="n">
        <x:v>408</x:v>
      </x:c>
      <x:c r="K79" s="70" t="str">
        <x:v>User access confirmed</x:v>
      </x:c>
      <x:c r="L79" s="70" t="n">
        <x:v>4</x:v>
      </x:c>
      <x:c r="M79" s="70" t="str">
        <x:v>Completed</x:v>
      </x:c>
      <x:c r="N79" s="86" t="n">
        <x:v>231.2</x:v>
      </x:c>
      <x:c r="O79" s="70" t="str">
        <x:v>None</x:v>
      </x:c>
      <x:c r="P79" s="70" t="str">
        <x:v>No</x:v>
      </x:c>
      <x:c r="Q79" s="71" t="str">
        <x:v>No approved real-time API; security review open</x:v>
      </x:c>
    </x:row>
    <x:row r="80" ht="34" customHeight="1">
      <x:c r="A80" s="69" t="str">
        <x:v>NOVA-0079</x:v>
      </x:c>
      <x:c r="B80" s="85" t="n">
        <x:v>46247.416666666664</x:v>
      </x:c>
      <x:c r="C80" s="70" t="str">
        <x:v>FinanceHub</x:v>
      </x:c>
      <x:c r="D80" s="70" t="str">
        <x:v>Temporary access</x:v>
      </x:c>
      <x:c r="E80" s="70" t="str">
        <x:v>Standard</x:v>
      </x:c>
      <x:c r="F80" s="70" t="str">
        <x:v>Service desk</x:v>
      </x:c>
      <x:c r="G80" s="70" t="n">
        <x:v>20</x:v>
      </x:c>
      <x:c r="H80" s="70" t="n">
        <x:v>221</x:v>
      </x:c>
      <x:c r="I80" s="70" t="n">
        <x:v>189</x:v>
      </x:c>
      <x:c r="J80" s="70" t="n">
        <x:v>430</x:v>
      </x:c>
      <x:c r="K80" s="70" t="str">
        <x:v>User access confirmed</x:v>
      </x:c>
      <x:c r="L80" s="70" t="n">
        <x:v>5</x:v>
      </x:c>
      <x:c r="M80" s="70" t="str">
        <x:v>Completed</x:v>
      </x:c>
      <x:c r="N80" s="86" t="n">
        <x:v>243.67</x:v>
      </x:c>
      <x:c r="O80" s="70" t="str">
        <x:v>None</x:v>
      </x:c>
      <x:c r="P80" s="70" t="str">
        <x:v>No</x:v>
      </x:c>
      <x:c r="Q80" s="71" t="str">
        <x:v>No approved real-time API; security review open</x:v>
      </x:c>
    </x:row>
    <x:row r="81" ht="34" customHeight="1">
      <x:c r="A81" s="69" t="str">
        <x:v>NOVA-0080</x:v>
      </x:c>
      <x:c r="B81" s="85" t="n">
        <x:v>46250.458333333336</x:v>
      </x:c>
      <x:c r="C81" s="70" t="str">
        <x:v>FinanceHub</x:v>
      </x:c>
      <x:c r="D81" s="70" t="str">
        <x:v>New access</x:v>
      </x:c>
      <x:c r="E81" s="70" t="str">
        <x:v>Privileged</x:v>
      </x:c>
      <x:c r="F81" s="70" t="str">
        <x:v>Portal</x:v>
      </x:c>
      <x:c r="G81" s="70" t="n">
        <x:v>50</x:v>
      </x:c>
      <x:c r="H81" s="70" t="n">
        <x:v>239</x:v>
      </x:c>
      <x:c r="I81" s="70" t="n">
        <x:v>203</x:v>
      </x:c>
      <x:c r="J81" s="70" t="n">
        <x:v>492</x:v>
      </x:c>
      <x:c r="K81" s="70" t="str">
        <x:v>Provisioning completed</x:v>
      </x:c>
      <x:c r="L81" s="70" t="n">
        <x:v>2</x:v>
      </x:c>
      <x:c r="M81" s="70" t="str">
        <x:v>Completed</x:v>
      </x:c>
      <x:c r="N81" s="86" t="n">
        <x:v>278.8</x:v>
      </x:c>
      <x:c r="O81" s="70" t="str">
        <x:v>Different completion definition</x:v>
      </x:c>
      <x:c r="P81" s="70" t="str">
        <x:v>No</x:v>
      </x:c>
      <x:c r="Q81" s="71" t="str">
        <x:v>No approved real-time API; security review open</x:v>
      </x:c>
    </x:row>
    <x:row r="82" ht="34" customHeight="1">
      <x:c r="A82" s="69" t="str">
        <x:v>NOVA-0081</x:v>
      </x:c>
      <x:c r="B82" s="85" t="n">
        <x:v>46253.5</x:v>
      </x:c>
      <x:c r="C82" s="70" t="str">
        <x:v>FinanceHub</x:v>
      </x:c>
      <x:c r="D82" s="70" t="str">
        <x:v>Role change</x:v>
      </x:c>
      <x:c r="E82" s="70" t="str">
        <x:v>Admin</x:v>
      </x:c>
      <x:c r="F82" s="70" t="str">
        <x:v>Email</x:v>
      </x:c>
      <x:c r="G82" s="70" t="n">
        <x:v>30</x:v>
      </x:c>
      <x:c r="H82" s="70" t="n">
        <x:v>257</x:v>
      </x:c>
      <x:c r="I82" s="70" t="n">
        <x:v>217</x:v>
      </x:c>
      <x:c r="J82" s="70" t="n">
        <x:v>504</x:v>
      </x:c>
      <x:c r="K82" s="70" t="str">
        <x:v>User access confirmed</x:v>
      </x:c>
      <x:c r="L82" s="70" t="n">
        <x:v>3</x:v>
      </x:c>
      <x:c r="M82" s="70" t="str">
        <x:v>Completed</x:v>
      </x:c>
      <x:c r="N82" s="86" t="n">
        <x:v>285.6</x:v>
      </x:c>
      <x:c r="O82" s="70" t="str">
        <x:v>None</x:v>
      </x:c>
      <x:c r="P82" s="70" t="str">
        <x:v>No</x:v>
      </x:c>
      <x:c r="Q82" s="71" t="str">
        <x:v>No approved real-time API; security review open</x:v>
      </x:c>
    </x:row>
    <x:row r="83" ht="34" customHeight="1">
      <x:c r="A83" s="69" t="str">
        <x:v>NOVA-0082</x:v>
      </x:c>
      <x:c r="B83" s="85" t="n">
        <x:v>46256.541666666664</x:v>
      </x:c>
      <x:c r="C83" s="70" t="str">
        <x:v>FinanceHub</x:v>
      </x:c>
      <x:c r="D83" s="70" t="str">
        <x:v>Remove access</x:v>
      </x:c>
      <x:c r="E83" s="70" t="str">
        <x:v>Standard</x:v>
      </x:c>
      <x:c r="F83" s="70" t="str">
        <x:v>Teams</x:v>
      </x:c>
      <x:c r="G83" s="70" t="n">
        <x:v>20</x:v>
      </x:c>
      <x:c r="H83" s="70" t="n">
        <x:v>275</x:v>
      </x:c>
      <x:c r="I83" s="70" t="n">
        <x:v>231</x:v>
      </x:c>
      <x:c r="J83" s="70" t="n">
        <x:v>526</x:v>
      </x:c>
      <x:c r="K83" s="70" t="str">
        <x:v>User access confirmed</x:v>
      </x:c>
      <x:c r="L83" s="70" t="n">
        <x:v>4</x:v>
      </x:c>
      <x:c r="M83" s="70" t="str">
        <x:v>Completed</x:v>
      </x:c>
      <x:c r="N83" s="86" t="n">
        <x:v>298.07</x:v>
      </x:c>
      <x:c r="O83" s="70" t="str">
        <x:v>None</x:v>
      </x:c>
      <x:c r="P83" s="70" t="str">
        <x:v>No</x:v>
      </x:c>
      <x:c r="Q83" s="71" t="str">
        <x:v>No approved real-time API; security review open</x:v>
      </x:c>
    </x:row>
    <x:row r="84" ht="34" customHeight="1">
      <x:c r="A84" s="69" t="str">
        <x:v>NOVA-0083</x:v>
      </x:c>
      <x:c r="B84" s="85" t="n">
        <x:v>46259.583333333336</x:v>
      </x:c>
      <x:c r="C84" s="70" t="str">
        <x:v>FinanceHub</x:v>
      </x:c>
      <x:c r="D84" s="70" t="str">
        <x:v>Temporary access</x:v>
      </x:c>
      <x:c r="E84" s="70" t="str">
        <x:v>Standard</x:v>
      </x:c>
      <x:c r="F84" s="70" t="str">
        <x:v>Service desk</x:v>
      </x:c>
      <x:c r="G84" s="70" t="n">
        <x:v>20</x:v>
      </x:c>
      <x:c r="H84" s="70" t="n">
        <x:v>293</x:v>
      </x:c>
      <x:c r="I84" s="70" t="n">
        <x:v>245</x:v>
      </x:c>
      <x:c r="J84" s="70" t="n">
        <x:v>558</x:v>
      </x:c>
      <x:c r="K84" s="70" t="str">
        <x:v>User access confirmed</x:v>
      </x:c>
      <x:c r="L84" s="70" t="n">
        <x:v>5</x:v>
      </x:c>
      <x:c r="M84" s="70" t="str">
        <x:v>Completed</x:v>
      </x:c>
      <x:c r="N84" s="86" t="n">
        <x:v>316.2</x:v>
      </x:c>
      <x:c r="O84" s="70" t="str">
        <x:v>None</x:v>
      </x:c>
      <x:c r="P84" s="70" t="str">
        <x:v>No</x:v>
      </x:c>
      <x:c r="Q84" s="71" t="str">
        <x:v>No approved real-time API; security review open</x:v>
      </x:c>
    </x:row>
    <x:row r="85" ht="34" customHeight="1">
      <x:c r="A85" s="69" t="str">
        <x:v>NOVA-0084</x:v>
      </x:c>
      <x:c r="B85" s="85" t="n">
        <x:v>46237.333333333336</x:v>
      </x:c>
      <x:c r="C85" s="70" t="str">
        <x:v>FinanceHub</x:v>
      </x:c>
      <x:c r="D85" s="70" t="str">
        <x:v>New access</x:v>
      </x:c>
      <x:c r="E85" s="70" t="str">
        <x:v>Standard</x:v>
      </x:c>
      <x:c r="F85" s="70" t="str">
        <x:v>Portal</x:v>
      </x:c>
      <x:c r="G85" s="70" t="n">
        <x:v>30</x:v>
      </x:c>
      <x:c r="H85" s="70" t="n">
        <x:v>185</x:v>
      </x:c>
      <x:c r="I85" s="70" t="n">
        <x:v>175</x:v>
      </x:c>
      <x:c r="J85" s="70" t="n">
        <x:v>390</x:v>
      </x:c>
      <x:c r="K85" s="70" t="str">
        <x:v>Provisioning completed</x:v>
      </x:c>
      <x:c r="L85" s="70" t="n">
        <x:v>2</x:v>
      </x:c>
      <x:c r="M85" s="70" t="str">
        <x:v>Completed</x:v>
      </x:c>
      <x:c r="N85" s="86" t="n">
        <x:v>221</x:v>
      </x:c>
      <x:c r="O85" s="70" t="str">
        <x:v>Different completion definition</x:v>
      </x:c>
      <x:c r="P85" s="70" t="str">
        <x:v>No</x:v>
      </x:c>
      <x:c r="Q85" s="71" t="str">
        <x:v>No approved real-time API; security review open</x:v>
      </x:c>
    </x:row>
    <x:row r="86" ht="34" customHeight="1">
      <x:c r="A86" s="69" t="str">
        <x:v>NOVA-0085</x:v>
      </x:c>
      <x:c r="B86" s="85" t="n">
        <x:v>46240.375</x:v>
      </x:c>
      <x:c r="C86" s="70" t="str">
        <x:v>Power BI Workspace</x:v>
      </x:c>
      <x:c r="D86" s="70" t="str">
        <x:v>Role change</x:v>
      </x:c>
      <x:c r="E86" s="70" t="str">
        <x:v>Standard</x:v>
      </x:c>
      <x:c r="F86" s="70" t="str">
        <x:v>Email</x:v>
      </x:c>
      <x:c r="G86" s="70" t="n">
        <x:v>50</x:v>
      </x:c>
      <x:c r="H86" s="70" t="n">
        <x:v>173</x:v>
      </x:c>
      <x:c r="I86" s="70" t="n">
        <x:v>170</x:v>
      </x:c>
      <x:c r="J86" s="70" t="n">
        <x:v>393</x:v>
      </x:c>
      <x:c r="K86" s="70" t="str">
        <x:v>User access confirmed</x:v>
      </x:c>
      <x:c r="L86" s="70" t="n">
        <x:v>3</x:v>
      </x:c>
      <x:c r="M86" s="70" t="str">
        <x:v>Returned for clarification</x:v>
      </x:c>
      <x:c r="N86" s="86" t="n">
        <x:v>189.95</x:v>
      </x:c>
      <x:c r="O86" s="70" t="str">
        <x:v>None</x:v>
      </x:c>
      <x:c r="P86" s="70" t="str">
        <x:v>No</x:v>
      </x:c>
      <x:c r="Q86" s="71" t="str">
        <x:v>Tenant-admin consent and workspace design unresolved</x:v>
      </x:c>
    </x:row>
    <x:row r="87" ht="34" customHeight="1">
      <x:c r="A87" s="69" t="str">
        <x:v>NOVA-0086</x:v>
      </x:c>
      <x:c r="B87" s="85" t="n">
        <x:v>46243.416666666664</x:v>
      </x:c>
      <x:c r="C87" s="70" t="str">
        <x:v>Power BI Workspace</x:v>
      </x:c>
      <x:c r="D87" s="70" t="str">
        <x:v>Remove access</x:v>
      </x:c>
      <x:c r="E87" s="70" t="str">
        <x:v>Standard</x:v>
      </x:c>
      <x:c r="F87" s="70" t="str">
        <x:v>Teams</x:v>
      </x:c>
      <x:c r="G87" s="70" t="n">
        <x:v>20</x:v>
      </x:c>
      <x:c r="H87" s="70" t="n">
        <x:v>191</x:v>
      </x:c>
      <x:c r="I87" s="70" t="n">
        <x:v>184</x:v>
      </x:c>
      <x:c r="J87" s="70" t="n">
        <x:v>395</x:v>
      </x:c>
      <x:c r="K87" s="70" t="str">
        <x:v>User access confirmed</x:v>
      </x:c>
      <x:c r="L87" s="70" t="n">
        <x:v>4</x:v>
      </x:c>
      <x:c r="M87" s="70" t="str">
        <x:v>Completed</x:v>
      </x:c>
      <x:c r="N87" s="86" t="n">
        <x:v>190.92</x:v>
      </x:c>
      <x:c r="O87" s="70" t="str">
        <x:v>None</x:v>
      </x:c>
      <x:c r="P87" s="70" t="str">
        <x:v>No</x:v>
      </x:c>
      <x:c r="Q87" s="71" t="str">
        <x:v>Tenant-admin consent and workspace design unresolved</x:v>
      </x:c>
    </x:row>
    <x:row r="88" ht="34" customHeight="1">
      <x:c r="A88" s="69" t="str">
        <x:v>NOVA-0087</x:v>
      </x:c>
      <x:c r="B88" s="85" t="n">
        <x:v>46246.458333333336</x:v>
      </x:c>
      <x:c r="C88" s="70" t="str">
        <x:v>Power BI Workspace</x:v>
      </x:c>
      <x:c r="D88" s="70" t="str">
        <x:v>Temporary access</x:v>
      </x:c>
      <x:c r="E88" s="70" t="str">
        <x:v>Standard</x:v>
      </x:c>
      <x:c r="F88" s="70" t="str">
        <x:v>Service desk</x:v>
      </x:c>
      <x:c r="G88" s="70" t="n">
        <x:v>30</x:v>
      </x:c>
      <x:c r="H88" s="70" t="n">
        <x:v>209</x:v>
      </x:c>
      <x:c r="I88" s="70" t="n">
        <x:v>198</x:v>
      </x:c>
      <x:c r="J88" s="70" t="n">
        <x:v>437</x:v>
      </x:c>
      <x:c r="K88" s="70" t="str">
        <x:v>User access confirmed</x:v>
      </x:c>
      <x:c r="L88" s="70" t="n">
        <x:v>5</x:v>
      </x:c>
      <x:c r="M88" s="70" t="str">
        <x:v>Completed</x:v>
      </x:c>
      <x:c r="N88" s="86"/>
      <x:c r="O88" s="70" t="str">
        <x:v>Missing cost value</x:v>
      </x:c>
      <x:c r="P88" s="70" t="str">
        <x:v>No</x:v>
      </x:c>
      <x:c r="Q88" s="71" t="str">
        <x:v>Tenant-admin consent and workspace design unresolved</x:v>
      </x:c>
    </x:row>
    <x:row r="89" ht="34" customHeight="1">
      <x:c r="A89" s="69" t="str">
        <x:v>NOVA-0088</x:v>
      </x:c>
      <x:c r="B89" s="85" t="n">
        <x:v>46249.5</x:v>
      </x:c>
      <x:c r="C89" s="70" t="str">
        <x:v>Power BI Workspace</x:v>
      </x:c>
      <x:c r="D89" s="70" t="str">
        <x:v>New access</x:v>
      </x:c>
      <x:c r="E89" s="70" t="str">
        <x:v>Standard</x:v>
      </x:c>
      <x:c r="F89" s="70" t="str">
        <x:v>Portal</x:v>
      </x:c>
      <x:c r="G89" s="70" t="n">
        <x:v>20</x:v>
      </x:c>
      <x:c r="H89" s="70" t="n">
        <x:v>387</x:v>
      </x:c>
      <x:c r="I89" s="70" t="n">
        <x:v>212</x:v>
      </x:c>
      <x:c r="J89" s="70" t="n">
        <x:v>619</x:v>
      </x:c>
      <x:c r="K89" s="70" t="str">
        <x:v>Provisioning completed</x:v>
      </x:c>
      <x:c r="L89" s="70" t="n">
        <x:v>2</x:v>
      </x:c>
      <x:c r="M89" s="70" t="str">
        <x:v>Completed</x:v>
      </x:c>
      <x:c r="N89" s="86" t="n">
        <x:v>299.18</x:v>
      </x:c>
      <x:c r="O89" s="70" t="str">
        <x:v>Different completion definition</x:v>
      </x:c>
      <x:c r="P89" s="70" t="str">
        <x:v>No</x:v>
      </x:c>
      <x:c r="Q89" s="71" t="str">
        <x:v>Tenant-admin consent and workspace design unresolved</x:v>
      </x:c>
    </x:row>
    <x:row r="90" ht="34" customHeight="1">
      <x:c r="A90" s="69" t="str">
        <x:v>NOVA-0089</x:v>
      </x:c>
      <x:c r="B90" s="85" t="n">
        <x:v>46252.541666666664</x:v>
      </x:c>
      <x:c r="C90" s="70" t="str">
        <x:v>Power BI Workspace</x:v>
      </x:c>
      <x:c r="D90" s="70" t="str">
        <x:v>Role change</x:v>
      </x:c>
      <x:c r="E90" s="70" t="str">
        <x:v>Standard</x:v>
      </x:c>
      <x:c r="F90" s="70" t="str">
        <x:v>Email</x:v>
      </x:c>
      <x:c r="G90" s="70" t="n">
        <x:v>20</x:v>
      </x:c>
      <x:c r="H90" s="70" t="n">
        <x:v>245</x:v>
      </x:c>
      <x:c r="I90" s="70" t="n">
        <x:v>226</x:v>
      </x:c>
      <x:c r="J90" s="70" t="n">
        <x:v>491</x:v>
      </x:c>
      <x:c r="K90" s="70" t="str">
        <x:v>User access confirmed</x:v>
      </x:c>
      <x:c r="L90" s="70" t="n">
        <x:v>3</x:v>
      </x:c>
      <x:c r="M90" s="70" t="str">
        <x:v>Completed</x:v>
      </x:c>
      <x:c r="N90" s="86" t="n">
        <x:v>237.32</x:v>
      </x:c>
      <x:c r="O90" s="70" t="str">
        <x:v>None</x:v>
      </x:c>
      <x:c r="P90" s="70" t="str">
        <x:v>No</x:v>
      </x:c>
      <x:c r="Q90" s="71" t="str">
        <x:v>Tenant-admin consent and workspace design unresolved</x:v>
      </x:c>
    </x:row>
    <x:row r="91" ht="34" customHeight="1">
      <x:c r="A91" s="69" t="str">
        <x:v>NOVA-0090</x:v>
      </x:c>
      <x:c r="B91" s="85" t="n">
        <x:v>46255.583333333336</x:v>
      </x:c>
      <x:c r="C91" s="70" t="str">
        <x:v>Power BI Workspace</x:v>
      </x:c>
      <x:c r="D91" s="70" t="str">
        <x:v>Remove access</x:v>
      </x:c>
      <x:c r="E91" s="70" t="str">
        <x:v>Privileged</x:v>
      </x:c>
      <x:c r="F91" s="70" t="str">
        <x:v>Teams</x:v>
      </x:c>
      <x:c r="G91" s="70" t="n">
        <x:v>50</x:v>
      </x:c>
      <x:c r="H91" s="70" t="n">
        <x:v>263</x:v>
      </x:c>
      <x:c r="I91" s="70" t="n">
        <x:v>156</x:v>
      </x:c>
      <x:c r="J91" s="70" t="n">
        <x:v>469</x:v>
      </x:c>
      <x:c r="K91" s="70" t="str">
        <x:v>User access confirmed</x:v>
      </x:c>
      <x:c r="L91" s="70" t="n">
        <x:v>4</x:v>
      </x:c>
      <x:c r="M91" s="70" t="str">
        <x:v>Completed</x:v>
      </x:c>
      <x:c r="N91" s="86" t="n">
        <x:v>226.68</x:v>
      </x:c>
      <x:c r="O91" s="70" t="str">
        <x:v>None</x:v>
      </x:c>
      <x:c r="P91" s="70" t="str">
        <x:v>No</x:v>
      </x:c>
      <x:c r="Q91" s="71" t="str">
        <x:v>Tenant-admin consent and workspace design unresolved</x:v>
      </x:c>
    </x:row>
    <x:row r="92" ht="34" customHeight="1">
      <x:c r="A92" s="69" t="str">
        <x:v>NOVA-0091</x:v>
      </x:c>
      <x:c r="B92" s="85" t="n">
        <x:v>46258.333333333336</x:v>
      </x:c>
      <x:c r="C92" s="70" t="str">
        <x:v>Power BI Workspace</x:v>
      </x:c>
      <x:c r="D92" s="70" t="str">
        <x:v>Temporary access</x:v>
      </x:c>
      <x:c r="E92" s="70" t="str">
        <x:v>Standard</x:v>
      </x:c>
      <x:c r="F92" s="70" t="str">
        <x:v>Service desk</x:v>
      </x:c>
      <x:c r="G92" s="70" t="n">
        <x:v>20</x:v>
      </x:c>
      <x:c r="H92" s="70" t="n">
        <x:v>155</x:v>
      </x:c>
      <x:c r="I92" s="70" t="n">
        <x:v>170</x:v>
      </x:c>
      <x:c r="J92" s="70" t="n">
        <x:v>345</x:v>
      </x:c>
      <x:c r="K92" s="70" t="str">
        <x:v>User access confirmed</x:v>
      </x:c>
      <x:c r="L92" s="70" t="n">
        <x:v>5</x:v>
      </x:c>
      <x:c r="M92" s="70" t="str">
        <x:v>Completed</x:v>
      </x:c>
      <x:c r="N92" s="86" t="n">
        <x:v>166.75</x:v>
      </x:c>
      <x:c r="O92" s="70" t="str">
        <x:v>None</x:v>
      </x:c>
      <x:c r="P92" s="70" t="str">
        <x:v>No</x:v>
      </x:c>
      <x:c r="Q92" s="71" t="str">
        <x:v>Tenant-admin consent and workspace design unresolved</x:v>
      </x:c>
    </x:row>
    <x:row r="93" ht="34" customHeight="1">
      <x:c r="A93" s="69" t="str">
        <x:v>NOVA-0092</x:v>
      </x:c>
      <x:c r="B93" s="85" t="n">
        <x:v>46236.375</x:v>
      </x:c>
      <x:c r="C93" s="70" t="str">
        <x:v>Power BI Workspace</x:v>
      </x:c>
      <x:c r="D93" s="70" t="str">
        <x:v>New access</x:v>
      </x:c>
      <x:c r="E93" s="70" t="str">
        <x:v>Standard</x:v>
      </x:c>
      <x:c r="F93" s="70" t="str">
        <x:v>Portal</x:v>
      </x:c>
      <x:c r="G93" s="70" t="n">
        <x:v>20</x:v>
      </x:c>
      <x:c r="H93" s="70" t="n">
        <x:v>173</x:v>
      </x:c>
      <x:c r="I93" s="70" t="n">
        <x:v>184</x:v>
      </x:c>
      <x:c r="J93" s="70" t="n">
        <x:v>377</x:v>
      </x:c>
      <x:c r="K93" s="70" t="str">
        <x:v>Provisioning completed</x:v>
      </x:c>
      <x:c r="L93" s="70" t="n">
        <x:v>2</x:v>
      </x:c>
      <x:c r="M93" s="70" t="str">
        <x:v>Completed</x:v>
      </x:c>
      <x:c r="N93" s="86" t="n">
        <x:v>182.22</x:v>
      </x:c>
      <x:c r="O93" s="70" t="str">
        <x:v>Different completion definition</x:v>
      </x:c>
      <x:c r="P93" s="70" t="str">
        <x:v>No</x:v>
      </x:c>
      <x:c r="Q93" s="71" t="str">
        <x:v>Tenant-admin consent and workspace design unresolved</x:v>
      </x:c>
    </x:row>
    <x:row r="94" ht="34" customHeight="1">
      <x:c r="A94" s="69" t="str">
        <x:v>NOVA-0093</x:v>
      </x:c>
      <x:c r="B94" s="85" t="n">
        <x:v>46239.416666666664</x:v>
      </x:c>
      <x:c r="C94" s="70" t="str">
        <x:v>Power BI Workspace</x:v>
      </x:c>
      <x:c r="D94" s="70" t="str">
        <x:v>Role change</x:v>
      </x:c>
      <x:c r="E94" s="70" t="str">
        <x:v>Standard</x:v>
      </x:c>
      <x:c r="F94" s="70" t="str">
        <x:v>Email</x:v>
      </x:c>
      <x:c r="G94" s="70" t="n">
        <x:v>30</x:v>
      </x:c>
      <x:c r="H94" s="70" t="n">
        <x:v>191</x:v>
      </x:c>
      <x:c r="I94" s="70" t="n">
        <x:v>198</x:v>
      </x:c>
      <x:c r="J94" s="70" t="n">
        <x:v>419</x:v>
      </x:c>
      <x:c r="K94" s="70" t="str">
        <x:v>User access confirmed</x:v>
      </x:c>
      <x:c r="L94" s="70" t="n">
        <x:v>3</x:v>
      </x:c>
      <x:c r="M94" s="70" t="str">
        <x:v>Completed</x:v>
      </x:c>
      <x:c r="N94" s="86" t="n">
        <x:v>202.52</x:v>
      </x:c>
      <x:c r="O94" s="70" t="str">
        <x:v>None</x:v>
      </x:c>
      <x:c r="P94" s="70" t="str">
        <x:v>No</x:v>
      </x:c>
      <x:c r="Q94" s="71" t="str">
        <x:v>Tenant-admin consent and workspace design unresolved</x:v>
      </x:c>
    </x:row>
    <x:row r="95" ht="34" customHeight="1">
      <x:c r="A95" s="69" t="str">
        <x:v>NOVA-0094</x:v>
      </x:c>
      <x:c r="B95" s="85" t="n">
        <x:v>46242.458333333336</x:v>
      </x:c>
      <x:c r="C95" s="70" t="str">
        <x:v>Power BI Workspace</x:v>
      </x:c>
      <x:c r="D95" s="70" t="str">
        <x:v>Remove access</x:v>
      </x:c>
      <x:c r="E95" s="70" t="str">
        <x:v>Standard</x:v>
      </x:c>
      <x:c r="F95" s="70" t="str">
        <x:v>Teams</x:v>
      </x:c>
      <x:c r="G95" s="70" t="n">
        <x:v>20</x:v>
      </x:c>
      <x:c r="H95" s="70" t="n">
        <x:v>209</x:v>
      </x:c>
      <x:c r="I95" s="70" t="n">
        <x:v>212</x:v>
      </x:c>
      <x:c r="J95" s="70" t="n">
        <x:v>441</x:v>
      </x:c>
      <x:c r="K95" s="70" t="str">
        <x:v>User access confirmed</x:v>
      </x:c>
      <x:c r="L95" s="70" t="n">
        <x:v>4</x:v>
      </x:c>
      <x:c r="M95" s="70" t="str">
        <x:v>Completed</x:v>
      </x:c>
      <x:c r="N95" s="86" t="n">
        <x:v>213.15</x:v>
      </x:c>
      <x:c r="O95" s="70" t="str">
        <x:v>None</x:v>
      </x:c>
      <x:c r="P95" s="70" t="str">
        <x:v>No</x:v>
      </x:c>
      <x:c r="Q95" s="71" t="str">
        <x:v>Tenant-admin consent and workspace design unresolved</x:v>
      </x:c>
    </x:row>
    <x:row r="96" ht="34" customHeight="1">
      <x:c r="A96" s="69" t="str">
        <x:v>NOVA-0095</x:v>
      </x:c>
      <x:c r="B96" s="85" t="n">
        <x:v>46245.5</x:v>
      </x:c>
      <x:c r="C96" s="70" t="str">
        <x:v>Power BI Workspace</x:v>
      </x:c>
      <x:c r="D96" s="70" t="str">
        <x:v>Temporary access</x:v>
      </x:c>
      <x:c r="E96" s="70" t="str">
        <x:v>Standard</x:v>
      </x:c>
      <x:c r="F96" s="70" t="str">
        <x:v>Service desk</x:v>
      </x:c>
      <x:c r="G96" s="70" t="n">
        <x:v>50</x:v>
      </x:c>
      <x:c r="H96" s="70" t="n">
        <x:v>227</x:v>
      </x:c>
      <x:c r="I96" s="70" t="n">
        <x:v>226</x:v>
      </x:c>
      <x:c r="J96" s="70" t="n">
        <x:v>503</x:v>
      </x:c>
      <x:c r="K96" s="70" t="str">
        <x:v>User access confirmed</x:v>
      </x:c>
      <x:c r="L96" s="70" t="n">
        <x:v>5</x:v>
      </x:c>
      <x:c r="M96" s="70" t="str">
        <x:v>Rejected</x:v>
      </x:c>
      <x:c r="N96" s="86" t="n">
        <x:v>243.12</x:v>
      </x:c>
      <x:c r="O96" s="70" t="str">
        <x:v>None</x:v>
      </x:c>
      <x:c r="P96" s="70" t="str">
        <x:v>No</x:v>
      </x:c>
      <x:c r="Q96" s="71" t="str">
        <x:v>Tenant-admin consent and workspace design unresolved</x:v>
      </x:c>
    </x:row>
    <x:row r="97" ht="34" customHeight="1">
      <x:c r="A97" s="69" t="str">
        <x:v>NOVA-0096</x:v>
      </x:c>
      <x:c r="B97" s="85" t="n">
        <x:v>46248.541666666664</x:v>
      </x:c>
      <x:c r="C97" s="70" t="str">
        <x:v>Power BI Workspace</x:v>
      </x:c>
      <x:c r="D97" s="70" t="str">
        <x:v>New access</x:v>
      </x:c>
      <x:c r="E97" s="70" t="str">
        <x:v>Standard</x:v>
      </x:c>
      <x:c r="F97" s="70" t="str">
        <x:v>Portal</x:v>
      </x:c>
      <x:c r="G97" s="70" t="n">
        <x:v>30</x:v>
      </x:c>
      <x:c r="H97" s="70" t="n">
        <x:v>245</x:v>
      </x:c>
      <x:c r="I97" s="70" t="n">
        <x:v>156</x:v>
      </x:c>
      <x:c r="J97" s="70" t="n">
        <x:v>431</x:v>
      </x:c>
      <x:c r="K97" s="70" t="str">
        <x:v>Provisioning completed</x:v>
      </x:c>
      <x:c r="L97" s="70" t="n">
        <x:v>2</x:v>
      </x:c>
      <x:c r="M97" s="70" t="str">
        <x:v>Completed</x:v>
      </x:c>
      <x:c r="N97" s="86" t="n">
        <x:v>208.32</x:v>
      </x:c>
      <x:c r="O97" s="70" t="str">
        <x:v>Different completion definition</x:v>
      </x:c>
      <x:c r="P97" s="70" t="str">
        <x:v>No</x:v>
      </x:c>
      <x:c r="Q97" s="71" t="str">
        <x:v>Tenant-admin consent and workspace design unresolved</x:v>
      </x:c>
    </x:row>
    <x:row r="98" ht="34" customHeight="1">
      <x:c r="A98" s="69" t="str">
        <x:v>NOVA-0097</x:v>
      </x:c>
      <x:c r="B98" s="85" t="n">
        <x:v>46251.583333333336</x:v>
      </x:c>
      <x:c r="C98" s="70" t="str">
        <x:v>Power BI Workspace</x:v>
      </x:c>
      <x:c r="D98" s="70" t="str">
        <x:v>Role change</x:v>
      </x:c>
      <x:c r="E98" s="70" t="str">
        <x:v>Standard</x:v>
      </x:c>
      <x:c r="F98" s="70" t="str">
        <x:v>Email</x:v>
      </x:c>
      <x:c r="G98" s="70" t="n">
        <x:v>20</x:v>
      </x:c>
      <x:c r="H98" s="70" t="n">
        <x:v>263</x:v>
      </x:c>
      <x:c r="I98" s="70" t="n">
        <x:v>170</x:v>
      </x:c>
      <x:c r="J98" s="70" t="n">
        <x:v>453</x:v>
      </x:c>
      <x:c r="K98" s="70" t="str">
        <x:v>User access confirmed</x:v>
      </x:c>
      <x:c r="L98" s="70" t="n">
        <x:v>3</x:v>
      </x:c>
      <x:c r="M98" s="70" t="str">
        <x:v>Completed</x:v>
      </x:c>
      <x:c r="N98" s="86" t="n">
        <x:v>218.95</x:v>
      </x:c>
      <x:c r="O98" s="70" t="str">
        <x:v>None</x:v>
      </x:c>
      <x:c r="P98" s="70" t="str">
        <x:v>No</x:v>
      </x:c>
      <x:c r="Q98" s="71" t="str">
        <x:v>Tenant-admin consent and workspace design unresolved</x:v>
      </x:c>
    </x:row>
    <x:row r="99" ht="34" customHeight="1">
      <x:c r="A99" s="69" t="str">
        <x:v>NOVA-0098</x:v>
      </x:c>
      <x:c r="B99" s="85" t="n">
        <x:v>46254.333333333336</x:v>
      </x:c>
      <x:c r="C99" s="70" t="str">
        <x:v>Power BI Workspace</x:v>
      </x:c>
      <x:c r="D99" s="70" t="str">
        <x:v>Remove access</x:v>
      </x:c>
      <x:c r="E99" s="70" t="str">
        <x:v>Standard</x:v>
      </x:c>
      <x:c r="F99" s="70" t="str">
        <x:v>Teams</x:v>
      </x:c>
      <x:c r="G99" s="70" t="n">
        <x:v>20</x:v>
      </x:c>
      <x:c r="H99" s="70" t="n">
        <x:v>155</x:v>
      </x:c>
      <x:c r="I99" s="70" t="n">
        <x:v>184</x:v>
      </x:c>
      <x:c r="J99" s="70" t="n">
        <x:v>359</x:v>
      </x:c>
      <x:c r="K99" s="70" t="str">
        <x:v>User access confirmed</x:v>
      </x:c>
      <x:c r="L99" s="70" t="n">
        <x:v>4</x:v>
      </x:c>
      <x:c r="M99" s="70" t="str">
        <x:v>Completed</x:v>
      </x:c>
      <x:c r="N99" s="86" t="n">
        <x:v>173.52</x:v>
      </x:c>
      <x:c r="O99" s="70" t="str">
        <x:v>None</x:v>
      </x:c>
      <x:c r="P99" s="70" t="str">
        <x:v>No</x:v>
      </x:c>
      <x:c r="Q99" s="71" t="str">
        <x:v>Tenant-admin consent and workspace design unresolved</x:v>
      </x:c>
    </x:row>
    <x:row r="100" ht="34" customHeight="1">
      <x:c r="A100" s="69" t="str">
        <x:v>NOVA-0099</x:v>
      </x:c>
      <x:c r="B100" s="85" t="n">
        <x:v>46257.375</x:v>
      </x:c>
      <x:c r="C100" s="70" t="str">
        <x:v>Power BI Workspace</x:v>
      </x:c>
      <x:c r="D100" s="70" t="str">
        <x:v>Temporary access</x:v>
      </x:c>
      <x:c r="E100" s="70" t="str">
        <x:v>Standard</x:v>
      </x:c>
      <x:c r="F100" s="70" t="str">
        <x:v>Service desk</x:v>
      </x:c>
      <x:c r="G100" s="70" t="n">
        <x:v>30</x:v>
      </x:c>
      <x:c r="H100" s="70" t="n">
        <x:v>333</x:v>
      </x:c>
      <x:c r="I100" s="70" t="n">
        <x:v>198</x:v>
      </x:c>
      <x:c r="J100" s="70" t="n">
        <x:v>561</x:v>
      </x:c>
      <x:c r="K100" s="70" t="str">
        <x:v>User access confirmed</x:v>
      </x:c>
      <x:c r="L100" s="70" t="n">
        <x:v>5</x:v>
      </x:c>
      <x:c r="M100" s="70" t="str">
        <x:v>Completed</x:v>
      </x:c>
      <x:c r="N100" s="86" t="n">
        <x:v>271.15</x:v>
      </x:c>
      <x:c r="O100" s="70" t="str">
        <x:v>None</x:v>
      </x:c>
      <x:c r="P100" s="70" t="str">
        <x:v>No</x:v>
      </x:c>
      <x:c r="Q100" s="71" t="str">
        <x:v>Tenant-admin consent and workspace design unresolved</x:v>
      </x:c>
    </x:row>
    <x:row r="101" ht="34" customHeight="1">
      <x:c r="A101" s="69" t="str">
        <x:v>NOVA-0100</x:v>
      </x:c>
      <x:c r="B101" s="85" t="n">
        <x:v>46235.416666666664</x:v>
      </x:c>
      <x:c r="C101" s="70" t="str">
        <x:v>Power BI Workspace</x:v>
      </x:c>
      <x:c r="D101" s="70" t="str">
        <x:v>New access</x:v>
      </x:c>
      <x:c r="E101" s="70" t="str">
        <x:v>Privileged</x:v>
      </x:c>
      <x:c r="F101" s="70" t="str">
        <x:v>Portal</x:v>
      </x:c>
      <x:c r="G101" s="70" t="n">
        <x:v>50</x:v>
      </x:c>
      <x:c r="H101" s="70" t="n">
        <x:v>191</x:v>
      </x:c>
      <x:c r="I101" s="70" t="n">
        <x:v>212</x:v>
      </x:c>
      <x:c r="J101" s="70" t="n">
        <x:v>453</x:v>
      </x:c>
      <x:c r="K101" s="70" t="str">
        <x:v>Provisioning completed</x:v>
      </x:c>
      <x:c r="L101" s="70" t="n">
        <x:v>2</x:v>
      </x:c>
      <x:c r="M101" s="70" t="str">
        <x:v>Completed</x:v>
      </x:c>
      <x:c r="N101" s="86" t="n">
        <x:v>218.95</x:v>
      </x:c>
      <x:c r="O101" s="70" t="str">
        <x:v>Different completion definition</x:v>
      </x:c>
      <x:c r="P101" s="70" t="str">
        <x:v>No</x:v>
      </x:c>
      <x:c r="Q101" s="71" t="str">
        <x:v>Tenant-admin consent and workspace design unresolved</x:v>
      </x:c>
    </x:row>
    <x:row r="102" ht="34" customHeight="1">
      <x:c r="A102" s="69" t="str">
        <x:v>NOVA-0101</x:v>
      </x:c>
      <x:c r="B102" s="85" t="n">
        <x:v>46238.458333333336</x:v>
      </x:c>
      <x:c r="C102" s="70" t="str">
        <x:v>Power BI Workspace</x:v>
      </x:c>
      <x:c r="D102" s="70" t="str">
        <x:v>Role change</x:v>
      </x:c>
      <x:c r="E102" s="70" t="str">
        <x:v>Standard</x:v>
      </x:c>
      <x:c r="F102" s="70" t="str">
        <x:v>Email</x:v>
      </x:c>
      <x:c r="G102" s="70" t="n">
        <x:v>20</x:v>
      </x:c>
      <x:c r="H102" s="70" t="n">
        <x:v>209</x:v>
      </x:c>
      <x:c r="I102" s="70" t="n">
        <x:v>226</x:v>
      </x:c>
      <x:c r="J102" s="70" t="n">
        <x:v>455</x:v>
      </x:c>
      <x:c r="K102" s="70" t="str">
        <x:v>User access confirmed</x:v>
      </x:c>
      <x:c r="L102" s="70" t="n">
        <x:v>3</x:v>
      </x:c>
      <x:c r="M102" s="70" t="str">
        <x:v>Completed</x:v>
      </x:c>
      <x:c r="N102" s="86" t="n">
        <x:v>219.92</x:v>
      </x:c>
      <x:c r="O102" s="70" t="str">
        <x:v>None</x:v>
      </x:c>
      <x:c r="P102" s="70" t="str">
        <x:v>No</x:v>
      </x:c>
      <x:c r="Q102" s="71" t="str">
        <x:v>Tenant-admin consent and workspace design unresolved</x:v>
      </x:c>
    </x:row>
    <x:row r="103" ht="34" customHeight="1">
      <x:c r="A103" s="69" t="str">
        <x:v>NOVA-0102</x:v>
      </x:c>
      <x:c r="B103" s="85" t="n">
        <x:v>46241.5</x:v>
      </x:c>
      <x:c r="C103" s="70" t="str">
        <x:v>Power BI Workspace</x:v>
      </x:c>
      <x:c r="D103" s="70" t="str">
        <x:v>Remove access</x:v>
      </x:c>
      <x:c r="E103" s="70" t="str">
        <x:v>Standard</x:v>
      </x:c>
      <x:c r="F103" s="70" t="str">
        <x:v>Teams</x:v>
      </x:c>
      <x:c r="G103" s="70" t="n">
        <x:v>30</x:v>
      </x:c>
      <x:c r="H103" s="70" t="n">
        <x:v>227</x:v>
      </x:c>
      <x:c r="I103" s="70" t="n">
        <x:v>156</x:v>
      </x:c>
      <x:c r="J103" s="70" t="n">
        <x:v>413</x:v>
      </x:c>
      <x:c r="K103" s="70" t="str">
        <x:v>User access confirmed</x:v>
      </x:c>
      <x:c r="L103" s="70" t="n">
        <x:v>4</x:v>
      </x:c>
      <x:c r="M103" s="70" t="str">
        <x:v>Returned for clarification</x:v>
      </x:c>
      <x:c r="N103" s="86" t="n">
        <x:v>199.62</x:v>
      </x:c>
      <x:c r="O103" s="70" t="str">
        <x:v>None</x:v>
      </x:c>
      <x:c r="P103" s="70" t="str">
        <x:v>No</x:v>
      </x:c>
      <x:c r="Q103" s="71" t="str">
        <x:v>Tenant-admin consent and workspace design unresolved</x:v>
      </x:c>
    </x:row>
    <x:row r="104" ht="34" customHeight="1">
      <x:c r="A104" s="69" t="str">
        <x:v>NOVA-0103</x:v>
      </x:c>
      <x:c r="B104" s="85" t="n">
        <x:v>46244.541666666664</x:v>
      </x:c>
      <x:c r="C104" s="70" t="str">
        <x:v>Power BI Workspace</x:v>
      </x:c>
      <x:c r="D104" s="70" t="str">
        <x:v>Temporary access</x:v>
      </x:c>
      <x:c r="E104" s="70" t="str">
        <x:v>Standard</x:v>
      </x:c>
      <x:c r="F104" s="70" t="str">
        <x:v>Service desk</x:v>
      </x:c>
      <x:c r="G104" s="70" t="n">
        <x:v>20</x:v>
      </x:c>
      <x:c r="H104" s="70" t="n">
        <x:v>245</x:v>
      </x:c>
      <x:c r="I104" s="70" t="n">
        <x:v>170</x:v>
      </x:c>
      <x:c r="J104" s="70" t="n">
        <x:v>435</x:v>
      </x:c>
      <x:c r="K104" s="70" t="str">
        <x:v>User access confirmed</x:v>
      </x:c>
      <x:c r="L104" s="70" t="n">
        <x:v>5</x:v>
      </x:c>
      <x:c r="M104" s="70" t="str">
        <x:v>Completed</x:v>
      </x:c>
      <x:c r="N104" s="86" t="n">
        <x:v>210.25</x:v>
      </x:c>
      <x:c r="O104" s="70" t="str">
        <x:v>None</x:v>
      </x:c>
      <x:c r="P104" s="70" t="str">
        <x:v>No</x:v>
      </x:c>
      <x:c r="Q104" s="71" t="str">
        <x:v>Tenant-admin consent and workspace design unresolved</x:v>
      </x:c>
    </x:row>
    <x:row r="105" ht="34" customHeight="1">
      <x:c r="A105" s="69" t="str">
        <x:v>NOVA-0104</x:v>
      </x:c>
      <x:c r="B105" s="85" t="n">
        <x:v>46247.583333333336</x:v>
      </x:c>
      <x:c r="C105" s="70" t="str">
        <x:v>Power BI Workspace</x:v>
      </x:c>
      <x:c r="D105" s="70" t="str">
        <x:v>New access</x:v>
      </x:c>
      <x:c r="E105" s="70" t="str">
        <x:v>Standard</x:v>
      </x:c>
      <x:c r="F105" s="70" t="str">
        <x:v>Portal</x:v>
      </x:c>
      <x:c r="G105" s="70" t="n">
        <x:v>20</x:v>
      </x:c>
      <x:c r="H105" s="70" t="n">
        <x:v>263</x:v>
      </x:c>
      <x:c r="I105" s="70" t="n">
        <x:v>184</x:v>
      </x:c>
      <x:c r="J105" s="70" t="n">
        <x:v>467</x:v>
      </x:c>
      <x:c r="K105" s="70" t="str">
        <x:v>Provisioning completed</x:v>
      </x:c>
      <x:c r="L105" s="70" t="n">
        <x:v>2</x:v>
      </x:c>
      <x:c r="M105" s="70" t="str">
        <x:v>Completed</x:v>
      </x:c>
      <x:c r="N105" s="86" t="n">
        <x:v>225.72</x:v>
      </x:c>
      <x:c r="O105" s="70" t="str">
        <x:v>Different completion definition</x:v>
      </x:c>
      <x:c r="P105" s="70" t="str">
        <x:v>No</x:v>
      </x:c>
      <x:c r="Q105" s="71" t="str">
        <x:v>Tenant-admin consent and workspace design unresolved</x:v>
      </x:c>
    </x:row>
    <x:row r="106" ht="34" customHeight="1">
      <x:c r="A106" s="69" t="str">
        <x:v>NOVA-0105</x:v>
      </x:c>
      <x:c r="B106" s="85" t="n">
        <x:v>46250.333333333336</x:v>
      </x:c>
      <x:c r="C106" s="70" t="str">
        <x:v>Power BI Workspace</x:v>
      </x:c>
      <x:c r="D106" s="70" t="str">
        <x:v>Role change</x:v>
      </x:c>
      <x:c r="E106" s="70" t="str">
        <x:v>Standard</x:v>
      </x:c>
      <x:c r="F106" s="70" t="str">
        <x:v>Email</x:v>
      </x:c>
      <x:c r="G106" s="70" t="n">
        <x:v>50</x:v>
      </x:c>
      <x:c r="H106" s="70" t="n">
        <x:v>155</x:v>
      </x:c>
      <x:c r="I106" s="70" t="n">
        <x:v>198</x:v>
      </x:c>
      <x:c r="J106" s="70" t="n">
        <x:v>403</x:v>
      </x:c>
      <x:c r="K106" s="70" t="str">
        <x:v>User access confirmed</x:v>
      </x:c>
      <x:c r="L106" s="70" t="n">
        <x:v>3</x:v>
      </x:c>
      <x:c r="M106" s="70" t="str">
        <x:v>Completed</x:v>
      </x:c>
      <x:c r="N106" s="86" t="n">
        <x:v>194.78</x:v>
      </x:c>
      <x:c r="O106" s="70" t="str">
        <x:v>None</x:v>
      </x:c>
      <x:c r="P106" s="70" t="str">
        <x:v>No</x:v>
      </x:c>
      <x:c r="Q106" s="71" t="str">
        <x:v>Tenant-admin consent and workspace design unresolved</x:v>
      </x:c>
    </x:row>
    <x:row r="107" ht="34" customHeight="1">
      <x:c r="A107" s="69" t="str">
        <x:v>NOVA-0106</x:v>
      </x:c>
      <x:c r="B107" s="85" t="n">
        <x:v>46253.375</x:v>
      </x:c>
      <x:c r="C107" s="70" t="str">
        <x:v>Power BI Workspace</x:v>
      </x:c>
      <x:c r="D107" s="70" t="str">
        <x:v>Remove access</x:v>
      </x:c>
      <x:c r="E107" s="70" t="str">
        <x:v>Standard</x:v>
      </x:c>
      <x:c r="F107" s="70" t="str">
        <x:v>Teams</x:v>
      </x:c>
      <x:c r="G107" s="70" t="n">
        <x:v>20</x:v>
      </x:c>
      <x:c r="H107" s="70" t="n">
        <x:v>173</x:v>
      </x:c>
      <x:c r="I107" s="70" t="n">
        <x:v>212</x:v>
      </x:c>
      <x:c r="J107" s="70" t="n">
        <x:v>405</x:v>
      </x:c>
      <x:c r="K107" s="70" t="str">
        <x:v>User access confirmed</x:v>
      </x:c>
      <x:c r="L107" s="70" t="n">
        <x:v>4</x:v>
      </x:c>
      <x:c r="M107" s="70" t="str">
        <x:v>Completed</x:v>
      </x:c>
      <x:c r="N107" s="86" t="n">
        <x:v>195.75</x:v>
      </x:c>
      <x:c r="O107" s="70" t="str">
        <x:v>None</x:v>
      </x:c>
      <x:c r="P107" s="70" t="str">
        <x:v>No</x:v>
      </x:c>
      <x:c r="Q107" s="71" t="str">
        <x:v>Tenant-admin consent and workspace design unresolved</x:v>
      </x:c>
    </x:row>
    <x:row r="108" ht="34" customHeight="1">
      <x:c r="A108" s="69" t="str">
        <x:v>NOVA-0107</x:v>
      </x:c>
      <x:c r="B108" s="85" t="n">
        <x:v>46256.416666666664</x:v>
      </x:c>
      <x:c r="C108" s="70" t="str">
        <x:v>Power BI Workspace</x:v>
      </x:c>
      <x:c r="D108" s="70" t="str">
        <x:v>Temporary access</x:v>
      </x:c>
      <x:c r="E108" s="70" t="str">
        <x:v>Standard</x:v>
      </x:c>
      <x:c r="F108" s="70" t="str">
        <x:v>Service desk</x:v>
      </x:c>
      <x:c r="G108" s="70" t="n">
        <x:v>20</x:v>
      </x:c>
      <x:c r="H108" s="70" t="n">
        <x:v>191</x:v>
      </x:c>
      <x:c r="I108" s="70" t="n">
        <x:v>226</x:v>
      </x:c>
      <x:c r="J108" s="70" t="n">
        <x:v>437</x:v>
      </x:c>
      <x:c r="K108" s="70" t="str">
        <x:v>User access confirmed</x:v>
      </x:c>
      <x:c r="L108" s="70" t="n">
        <x:v>5</x:v>
      </x:c>
      <x:c r="M108" s="70" t="str">
        <x:v>Completed</x:v>
      </x:c>
      <x:c r="N108" s="86" t="n">
        <x:v>211.22</x:v>
      </x:c>
      <x:c r="O108" s="70" t="str">
        <x:v>None</x:v>
      </x:c>
      <x:c r="P108" s="70" t="str">
        <x:v>No</x:v>
      </x:c>
      <x:c r="Q108" s="71" t="str">
        <x:v>Tenant-admin consent and workspace design unresolved</x:v>
      </x:c>
    </x:row>
    <x:row r="109" ht="34" customHeight="1">
      <x:c r="A109" s="69" t="str">
        <x:v>NOVA-0108</x:v>
      </x:c>
      <x:c r="B109" s="85" t="n">
        <x:v>46259.458333333336</x:v>
      </x:c>
      <x:c r="C109" s="70" t="str">
        <x:v>Power BI Workspace</x:v>
      </x:c>
      <x:c r="D109" s="70" t="str">
        <x:v>New access</x:v>
      </x:c>
      <x:c r="E109" s="70" t="str">
        <x:v>Admin</x:v>
      </x:c>
      <x:c r="F109" s="70" t="str">
        <x:v>Portal</x:v>
      </x:c>
      <x:c r="G109" s="70" t="n">
        <x:v>30</x:v>
      </x:c>
      <x:c r="H109" s="70" t="n">
        <x:v>209</x:v>
      </x:c>
      <x:c r="I109" s="70" t="n">
        <x:v>156</x:v>
      </x:c>
      <x:c r="J109" s="70" t="n">
        <x:v>395</x:v>
      </x:c>
      <x:c r="K109" s="70" t="str">
        <x:v>Provisioning completed</x:v>
      </x:c>
      <x:c r="L109" s="70" t="n">
        <x:v>2</x:v>
      </x:c>
      <x:c r="M109" s="70" t="str">
        <x:v>Completed</x:v>
      </x:c>
      <x:c r="N109" s="86" t="n">
        <x:v>190.92</x:v>
      </x:c>
      <x:c r="O109" s="70" t="str">
        <x:v>Different completion definition</x:v>
      </x:c>
      <x:c r="P109" s="70" t="str">
        <x:v>No</x:v>
      </x:c>
      <x:c r="Q109" s="71" t="str">
        <x:v>Tenant-admin consent and workspace design unresolved</x:v>
      </x:c>
    </x:row>
    <x:row r="110" ht="34" customHeight="1">
      <x:c r="A110" s="69" t="str">
        <x:v>NOVA-0109</x:v>
      </x:c>
      <x:c r="B110" s="85" t="n">
        <x:v>46237.5</x:v>
      </x:c>
      <x:c r="C110" s="70" t="str">
        <x:v>Power BI Workspace</x:v>
      </x:c>
      <x:c r="D110" s="70" t="str">
        <x:v>Role change</x:v>
      </x:c>
      <x:c r="E110" s="70" t="str">
        <x:v>Standard</x:v>
      </x:c>
      <x:c r="F110" s="70" t="str">
        <x:v>Email</x:v>
      </x:c>
      <x:c r="G110" s="70" t="n">
        <x:v>20</x:v>
      </x:c>
      <x:c r="H110" s="70" t="n">
        <x:v>227</x:v>
      </x:c>
      <x:c r="I110" s="70" t="n">
        <x:v>170</x:v>
      </x:c>
      <x:c r="J110" s="70" t="n">
        <x:v>417</x:v>
      </x:c>
      <x:c r="K110" s="70" t="str">
        <x:v>User access confirmed</x:v>
      </x:c>
      <x:c r="L110" s="70" t="n">
        <x:v>3</x:v>
      </x:c>
      <x:c r="M110" s="70" t="str">
        <x:v>Completed</x:v>
      </x:c>
      <x:c r="N110" s="86" t="n">
        <x:v>201.55</x:v>
      </x:c>
      <x:c r="O110" s="70" t="str">
        <x:v>None</x:v>
      </x:c>
      <x:c r="P110" s="70" t="str">
        <x:v>No</x:v>
      </x:c>
      <x:c r="Q110" s="71" t="str">
        <x:v>Tenant-admin consent and workspace design unresolved</x:v>
      </x:c>
    </x:row>
    <x:row r="111" ht="34" customHeight="1">
      <x:c r="A111" s="69" t="str">
        <x:v>NOVA-0110</x:v>
      </x:c>
      <x:c r="B111" s="85" t="n">
        <x:v>46240.541666666664</x:v>
      </x:c>
      <x:c r="C111" s="70" t="str">
        <x:v>Power BI Workspace</x:v>
      </x:c>
      <x:c r="D111" s="70" t="str">
        <x:v>Remove access</x:v>
      </x:c>
      <x:c r="E111" s="70" t="str">
        <x:v>Privileged</x:v>
      </x:c>
      <x:c r="F111" s="70" t="str">
        <x:v>Teams</x:v>
      </x:c>
      <x:c r="G111" s="70" t="n">
        <x:v>50</x:v>
      </x:c>
      <x:c r="H111" s="70" t="n">
        <x:v>405</x:v>
      </x:c>
      <x:c r="I111" s="70" t="n">
        <x:v>184</x:v>
      </x:c>
      <x:c r="J111" s="70" t="n">
        <x:v>639</x:v>
      </x:c>
      <x:c r="K111" s="70" t="str">
        <x:v>User access confirmed</x:v>
      </x:c>
      <x:c r="L111" s="70" t="n">
        <x:v>4</x:v>
      </x:c>
      <x:c r="M111" s="70" t="str">
        <x:v>Completed</x:v>
      </x:c>
      <x:c r="N111" s="86" t="n">
        <x:v>308.85</x:v>
      </x:c>
      <x:c r="O111" s="70" t="str">
        <x:v>None</x:v>
      </x:c>
      <x:c r="P111" s="70" t="str">
        <x:v>No</x:v>
      </x:c>
      <x:c r="Q111" s="71" t="str">
        <x:v>Tenant-admin consent and workspace design unresolved</x:v>
      </x:c>
    </x:row>
    <x:row r="112" ht="34" customHeight="1">
      <x:c r="A112" s="69" t="str">
        <x:v>NOVA-0111</x:v>
      </x:c>
      <x:c r="B112" s="85" t="n">
        <x:v>46243.583333333336</x:v>
      </x:c>
      <x:c r="C112" s="70" t="str">
        <x:v>Power BI Workspace</x:v>
      </x:c>
      <x:c r="D112" s="70" t="str">
        <x:v>Temporary access</x:v>
      </x:c>
      <x:c r="E112" s="70" t="str">
        <x:v>Standard</x:v>
      </x:c>
      <x:c r="F112" s="70" t="str">
        <x:v>Service desk</x:v>
      </x:c>
      <x:c r="G112" s="70" t="n">
        <x:v>30</x:v>
      </x:c>
      <x:c r="H112" s="70" t="n">
        <x:v>263</x:v>
      </x:c>
      <x:c r="I112" s="70" t="n">
        <x:v>198</x:v>
      </x:c>
      <x:c r="J112" s="70" t="n">
        <x:v>491</x:v>
      </x:c>
      <x:c r="K112" s="70" t="str">
        <x:v>User access confirmed</x:v>
      </x:c>
      <x:c r="L112" s="70" t="n">
        <x:v>5</x:v>
      </x:c>
      <x:c r="M112" s="70" t="str">
        <x:v>Completed</x:v>
      </x:c>
      <x:c r="N112" s="86" t="n">
        <x:v>237.32</x:v>
      </x:c>
      <x:c r="O112" s="70" t="str">
        <x:v>None</x:v>
      </x:c>
      <x:c r="P112" s="70" t="str">
        <x:v>No</x:v>
      </x:c>
      <x:c r="Q112" s="71" t="str">
        <x:v>Tenant-admin consent and workspace design unresolved</x:v>
      </x:c>
    </x:row>
    <x:row r="113" ht="34" customHeight="1">
      <x:c r="A113" s="69" t="str">
        <x:v>NOVA-0112</x:v>
      </x:c>
      <x:c r="B113" s="85" t="n">
        <x:v>46246.333333333336</x:v>
      </x:c>
      <x:c r="C113" s="70" t="str">
        <x:v>Power BI Workspace</x:v>
      </x:c>
      <x:c r="D113" s="70" t="str">
        <x:v>New access</x:v>
      </x:c>
      <x:c r="E113" s="70" t="str">
        <x:v>Standard</x:v>
      </x:c>
      <x:c r="F113" s="70" t="str">
        <x:v>Portal</x:v>
      </x:c>
      <x:c r="G113" s="70" t="n">
        <x:v>20</x:v>
      </x:c>
      <x:c r="H113" s="70" t="n">
        <x:v>155</x:v>
      </x:c>
      <x:c r="I113" s="70" t="n">
        <x:v>212</x:v>
      </x:c>
      <x:c r="J113" s="70" t="n">
        <x:v>387</x:v>
      </x:c>
      <x:c r="K113" s="70" t="str">
        <x:v>Provisioning completed</x:v>
      </x:c>
      <x:c r="L113" s="70" t="n">
        <x:v>2</x:v>
      </x:c>
      <x:c r="M113" s="70" t="str">
        <x:v>Completed</x:v>
      </x:c>
      <x:c r="N113" s="86" t="n">
        <x:v>187.05</x:v>
      </x:c>
      <x:c r="O113" s="70" t="str">
        <x:v>Different completion definition</x:v>
      </x:c>
      <x:c r="P113" s="70" t="str">
        <x:v>No</x:v>
      </x:c>
      <x:c r="Q113" s="71" t="str">
        <x:v>Tenant-admin consent and workspace design unresolved</x:v>
      </x:c>
    </x:row>
    <x:row r="114" ht="34" customHeight="1">
      <x:c r="A114" s="69" t="str">
        <x:v>NOVA-0113</x:v>
      </x:c>
      <x:c r="B114" s="85" t="n">
        <x:v>46249.375</x:v>
      </x:c>
      <x:c r="C114" s="70" t="str">
        <x:v>Power BI Workspace</x:v>
      </x:c>
      <x:c r="D114" s="70" t="str">
        <x:v>Role change</x:v>
      </x:c>
      <x:c r="E114" s="70" t="str">
        <x:v>Standard</x:v>
      </x:c>
      <x:c r="F114" s="70" t="str">
        <x:v>Email</x:v>
      </x:c>
      <x:c r="G114" s="70" t="n">
        <x:v>20</x:v>
      </x:c>
      <x:c r="H114" s="70" t="n">
        <x:v>173</x:v>
      </x:c>
      <x:c r="I114" s="70" t="n">
        <x:v>226</x:v>
      </x:c>
      <x:c r="J114" s="70" t="n">
        <x:v>419</x:v>
      </x:c>
      <x:c r="K114" s="70" t="str">
        <x:v>User access confirmed</x:v>
      </x:c>
      <x:c r="L114" s="70" t="n">
        <x:v>3</x:v>
      </x:c>
      <x:c r="M114" s="70" t="str">
        <x:v>Completed</x:v>
      </x:c>
      <x:c r="N114" s="86" t="n">
        <x:v>202.52</x:v>
      </x:c>
      <x:c r="O114" s="70" t="str">
        <x:v>None</x:v>
      </x:c>
      <x:c r="P114" s="70" t="str">
        <x:v>No</x:v>
      </x:c>
      <x:c r="Q114" s="71" t="str">
        <x:v>Tenant-admin consent and workspace design unresolved</x:v>
      </x:c>
    </x:row>
    <x:row r="115" ht="34" customHeight="1">
      <x:c r="A115" s="69" t="str">
        <x:v>NOVA-0114</x:v>
      </x:c>
      <x:c r="B115" s="85" t="n">
        <x:v>46252.416666666664</x:v>
      </x:c>
      <x:c r="C115" s="70" t="str">
        <x:v>Power BI Workspace</x:v>
      </x:c>
      <x:c r="D115" s="70" t="str">
        <x:v>Remove access</x:v>
      </x:c>
      <x:c r="E115" s="70" t="str">
        <x:v>Standard</x:v>
      </x:c>
      <x:c r="F115" s="70" t="str">
        <x:v>Teams</x:v>
      </x:c>
      <x:c r="G115" s="70" t="n">
        <x:v>30</x:v>
      </x:c>
      <x:c r="H115" s="70" t="n">
        <x:v>191</x:v>
      </x:c>
      <x:c r="I115" s="70" t="n">
        <x:v>156</x:v>
      </x:c>
      <x:c r="J115" s="70" t="n">
        <x:v>377</x:v>
      </x:c>
      <x:c r="K115" s="70" t="str">
        <x:v>User access confirmed</x:v>
      </x:c>
      <x:c r="L115" s="70" t="n">
        <x:v>4</x:v>
      </x:c>
      <x:c r="M115" s="70" t="str">
        <x:v>Rejected</x:v>
      </x:c>
      <x:c r="N115" s="86" t="n">
        <x:v>182.22</x:v>
      </x:c>
      <x:c r="O115" s="70" t="str">
        <x:v>None</x:v>
      </x:c>
      <x:c r="P115" s="70" t="str">
        <x:v>No</x:v>
      </x:c>
      <x:c r="Q115" s="71" t="str">
        <x:v>Tenant-admin consent and workspace design unresolved</x:v>
      </x:c>
    </x:row>
    <x:row r="116" ht="34" customHeight="1">
      <x:c r="A116" s="69" t="str">
        <x:v>NOVA-0115</x:v>
      </x:c>
      <x:c r="B116" s="85" t="n">
        <x:v>46255.458333333336</x:v>
      </x:c>
      <x:c r="C116" s="70" t="str">
        <x:v>Power BI Workspace</x:v>
      </x:c>
      <x:c r="D116" s="70" t="str">
        <x:v>Temporary access</x:v>
      </x:c>
      <x:c r="E116" s="70" t="str">
        <x:v>Standard</x:v>
      </x:c>
      <x:c r="F116" s="70" t="str">
        <x:v>Service desk</x:v>
      </x:c>
      <x:c r="G116" s="70" t="n">
        <x:v>50</x:v>
      </x:c>
      <x:c r="H116" s="70" t="n">
        <x:v>209</x:v>
      </x:c>
      <x:c r="I116" s="70" t="n">
        <x:v>170</x:v>
      </x:c>
      <x:c r="J116" s="70" t="n">
        <x:v>429</x:v>
      </x:c>
      <x:c r="K116" s="70" t="str">
        <x:v>User access confirmed</x:v>
      </x:c>
      <x:c r="L116" s="70" t="n">
        <x:v>5</x:v>
      </x:c>
      <x:c r="M116" s="70" t="str">
        <x:v>Completed</x:v>
      </x:c>
      <x:c r="N116" s="86" t="n">
        <x:v>207.35</x:v>
      </x:c>
      <x:c r="O116" s="70" t="str">
        <x:v>None</x:v>
      </x:c>
      <x:c r="P116" s="70" t="str">
        <x:v>No</x:v>
      </x:c>
      <x:c r="Q116" s="71" t="str">
        <x:v>Tenant-admin consent and workspace design unresolved</x:v>
      </x:c>
    </x:row>
    <x:row r="117" ht="34" customHeight="1">
      <x:c r="A117" s="69" t="str">
        <x:v>NOVA-0116</x:v>
      </x:c>
      <x:c r="B117" s="85" t="n">
        <x:v>46258.5</x:v>
      </x:c>
      <x:c r="C117" s="70" t="str">
        <x:v>Power BI Workspace</x:v>
      </x:c>
      <x:c r="D117" s="70" t="str">
        <x:v>New access</x:v>
      </x:c>
      <x:c r="E117" s="70" t="str">
        <x:v>Standard</x:v>
      </x:c>
      <x:c r="F117" s="70" t="str">
        <x:v>Portal</x:v>
      </x:c>
      <x:c r="G117" s="70" t="n">
        <x:v>20</x:v>
      </x:c>
      <x:c r="H117" s="70" t="n">
        <x:v>227</x:v>
      </x:c>
      <x:c r="I117" s="70" t="n">
        <x:v>184</x:v>
      </x:c>
      <x:c r="J117" s="70" t="n">
        <x:v>431</x:v>
      </x:c>
      <x:c r="K117" s="70" t="str">
        <x:v>Provisioning completed</x:v>
      </x:c>
      <x:c r="L117" s="70" t="n">
        <x:v>2</x:v>
      </x:c>
      <x:c r="M117" s="70" t="str">
        <x:v>Completed</x:v>
      </x:c>
      <x:c r="N117" s="86" t="n">
        <x:v>208.32</x:v>
      </x:c>
      <x:c r="O117" s="70" t="str">
        <x:v>Different completion definition</x:v>
      </x:c>
      <x:c r="P117" s="70" t="str">
        <x:v>No</x:v>
      </x:c>
      <x:c r="Q117" s="71" t="str">
        <x:v>Tenant-admin consent and workspace design unresolved</x:v>
      </x:c>
    </x:row>
    <x:row r="118" ht="34" customHeight="1">
      <x:c r="A118" s="69" t="str">
        <x:v>NOVA-0117</x:v>
      </x:c>
      <x:c r="B118" s="85" t="n">
        <x:v>46236.541666666664</x:v>
      </x:c>
      <x:c r="C118" s="70" t="str">
        <x:v>Power BI Workspace</x:v>
      </x:c>
      <x:c r="D118" s="70" t="str">
        <x:v>Role change</x:v>
      </x:c>
      <x:c r="E118" s="70" t="str">
        <x:v>Standard</x:v>
      </x:c>
      <x:c r="F118" s="70" t="str">
        <x:v>Email</x:v>
      </x:c>
      <x:c r="G118" s="70" t="n">
        <x:v>30</x:v>
      </x:c>
      <x:c r="H118" s="70" t="n">
        <x:v>245</x:v>
      </x:c>
      <x:c r="I118" s="70" t="n">
        <x:v>198</x:v>
      </x:c>
      <x:c r="J118" s="70" t="n">
        <x:v>473</x:v>
      </x:c>
      <x:c r="K118" s="70" t="str">
        <x:v>User access confirmed</x:v>
      </x:c>
      <x:c r="L118" s="70" t="n">
        <x:v>3</x:v>
      </x:c>
      <x:c r="M118" s="70" t="str">
        <x:v>Completed</x:v>
      </x:c>
      <x:c r="N118" s="86" t="n">
        <x:v>228.62</x:v>
      </x:c>
      <x:c r="O118" s="70" t="str">
        <x:v>None</x:v>
      </x:c>
      <x:c r="P118" s="70" t="str">
        <x:v>No</x:v>
      </x:c>
      <x:c r="Q118" s="71" t="str">
        <x:v>Tenant-admin consent and workspace design unresolved</x:v>
      </x:c>
    </x:row>
    <x:row r="119" ht="34" customHeight="1">
      <x:c r="A119" s="69" t="str">
        <x:v>NOVA-0118</x:v>
      </x:c>
      <x:c r="B119" s="85" t="n">
        <x:v>46239.583333333336</x:v>
      </x:c>
      <x:c r="C119" s="70" t="str">
        <x:v>Power BI Workspace</x:v>
      </x:c>
      <x:c r="D119" s="70" t="str">
        <x:v>Remove access</x:v>
      </x:c>
      <x:c r="E119" s="70" t="str">
        <x:v>Standard</x:v>
      </x:c>
      <x:c r="F119" s="70" t="str">
        <x:v>Teams</x:v>
      </x:c>
      <x:c r="G119" s="70" t="n">
        <x:v>20</x:v>
      </x:c>
      <x:c r="H119" s="70" t="n">
        <x:v>263</x:v>
      </x:c>
      <x:c r="I119" s="70" t="n">
        <x:v>212</x:v>
      </x:c>
      <x:c r="J119" s="70" t="n">
        <x:v>495</x:v>
      </x:c>
      <x:c r="K119" s="70" t="str">
        <x:v>User access confirmed</x:v>
      </x:c>
      <x:c r="L119" s="70" t="n">
        <x:v>4</x:v>
      </x:c>
      <x:c r="M119" s="70" t="str">
        <x:v>Completed</x:v>
      </x:c>
      <x:c r="N119" s="86" t="n">
        <x:v>239.25</x:v>
      </x:c>
      <x:c r="O119" s="70" t="str">
        <x:v>None</x:v>
      </x:c>
      <x:c r="P119" s="70" t="str">
        <x:v>No</x:v>
      </x:c>
      <x:c r="Q119" s="71" t="str">
        <x:v>Tenant-admin consent and workspace design unresolved</x:v>
      </x:c>
    </x:row>
    <x:row r="120" ht="34" customHeight="1">
      <x:c r="A120" s="69" t="str">
        <x:v>NOVA-0119</x:v>
      </x:c>
      <x:c r="B120" s="85" t="n">
        <x:v>46242.333333333336</x:v>
      </x:c>
      <x:c r="C120" s="70" t="str">
        <x:v>Power BI Workspace</x:v>
      </x:c>
      <x:c r="D120" s="70" t="str">
        <x:v>Temporary access</x:v>
      </x:c>
      <x:c r="E120" s="70" t="str">
        <x:v>Standard</x:v>
      </x:c>
      <x:c r="F120" s="70" t="str">
        <x:v>Service desk</x:v>
      </x:c>
      <x:c r="G120" s="70" t="n">
        <x:v>20</x:v>
      </x:c>
      <x:c r="H120" s="70" t="n">
        <x:v>155</x:v>
      </x:c>
      <x:c r="I120" s="70" t="n">
        <x:v>226</x:v>
      </x:c>
      <x:c r="J120" s="70" t="n">
        <x:v>401</x:v>
      </x:c>
      <x:c r="K120" s="70" t="str">
        <x:v>User access confirmed</x:v>
      </x:c>
      <x:c r="L120" s="70" t="n">
        <x:v>5</x:v>
      </x:c>
      <x:c r="M120" s="70" t="str">
        <x:v>Returned for clarification</x:v>
      </x:c>
      <x:c r="N120" s="86" t="n">
        <x:v>193.82</x:v>
      </x:c>
      <x:c r="O120" s="70" t="str">
        <x:v>None</x:v>
      </x:c>
      <x:c r="P120" s="70" t="str">
        <x:v>No</x:v>
      </x:c>
      <x:c r="Q120" s="71" t="str">
        <x:v>Tenant-admin consent and workspace design unresolved</x:v>
      </x:c>
    </x:row>
    <x:row r="121" ht="34" customHeight="1">
      <x:c r="A121" s="73" t="str">
        <x:v>NOVA-0120</x:v>
      </x:c>
      <x:c r="B121" s="87" t="n">
        <x:v>46245.375</x:v>
      </x:c>
      <x:c r="C121" s="74" t="str">
        <x:v>Power BI Workspace</x:v>
      </x:c>
      <x:c r="D121" s="74" t="str">
        <x:v>New access</x:v>
      </x:c>
      <x:c r="E121" s="74" t="str">
        <x:v>Privileged</x:v>
      </x:c>
      <x:c r="F121" s="74" t="str">
        <x:v>Portal</x:v>
      </x:c>
      <x:c r="G121" s="74" t="n">
        <x:v>50</x:v>
      </x:c>
      <x:c r="H121" s="74" t="n">
        <x:v>173</x:v>
      </x:c>
      <x:c r="I121" s="74" t="n">
        <x:v>156</x:v>
      </x:c>
      <x:c r="J121" s="74" t="n">
        <x:v>379</x:v>
      </x:c>
      <x:c r="K121" s="74" t="str">
        <x:v>Provisioning completed</x:v>
      </x:c>
      <x:c r="L121" s="74" t="n">
        <x:v>2</x:v>
      </x:c>
      <x:c r="M121" s="74" t="str">
        <x:v>Completed</x:v>
      </x:c>
      <x:c r="N121" s="82" t="n">
        <x:v>183.18</x:v>
      </x:c>
      <x:c r="O121" s="74" t="str">
        <x:v>Different completion definition</x:v>
      </x:c>
      <x:c r="P121" s="74" t="str">
        <x:v>No</x:v>
      </x:c>
      <x:c r="Q121" s="75" t="str">
        <x:v>Tenant-admin consent and workspace design unresolved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b0a19779d4894bac"/>
  </x:tableParts>
</x:worksheet>
</file>