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ff0693c24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504e7bb9dfc4ed6"/>
    <x:sheet xmlns:r="http://schemas.openxmlformats.org/officeDocument/2006/relationships" name="Requirements Register" sheetId="2" r:id="R28fbe6b96e4c4e37"/>
    <x:sheet xmlns:r="http://schemas.openxmlformats.org/officeDocument/2006/relationships" name="Evidence Register" sheetId="3" r:id="R5b2ee2f150494beb"/>
    <x:sheet xmlns:r="http://schemas.openxmlformats.org/officeDocument/2006/relationships" name="Conflict Log" sheetId="4" r:id="Rf59c291749c646b2"/>
    <x:sheet xmlns:r="http://schemas.openxmlformats.org/officeDocument/2006/relationships" name="Approved Updates" sheetId="5" r:id="Rb88ad4f48e5c4728"/>
    <x:sheet xmlns:r="http://schemas.openxmlformats.org/officeDocument/2006/relationships" name="Unchanged Controls" sheetId="6" r:id="Ra879e1ab7a1a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 mmm yyyy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1"/>
      <x:color rgb="FF242424"/>
      <x:name val="Carlito"/>
    </x:font>
    <x:font>
      <x:b/>
      <x:sz val="18"/>
      <x:color rgb="FFFFFFFF"/>
      <x:name val="Aptos"/>
    </x:font>
    <x:font>
      <x:i/>
      <x:sz val="11"/>
      <x:color rgb="FF486581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242424"/>
      <x:name val="Aptos"/>
    </x:font>
    <x:font>
      <x:b/>
      <x:sz val="11"/>
      <x:color rgb="FF242424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  <x:fill>
      <x:patternFill patternType="solid">
        <x:fgColor rgb="FFFFF4CE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  <x:border>
      <x:left style="thin">
        <x:color rgb="FFB7C8D8"/>
      </x:left>
      <x:right style="thin">
        <x:color rgb="FFB7C8D8"/>
      </x:right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200" fontId="4" fillId="0" borderId="12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201" fontId="4" fillId="0" borderId="12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10" fillId="0" borderId="3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9" fillId="4" borderId="9" xfId="0" applyNumberFormat="1" applyFont="1" applyFill="1" applyBorder="1" applyAlignment="1">
      <x:alignment vertical="center" wrapText="1"/>
    </x:xf>
    <x:xf numFmtId="0" fontId="10" fillId="0" borderId="10" xfId="0" applyNumberFormat="1" applyFont="1" applyFill="1" applyBorder="1" applyAlignment="1">
      <x:alignment vertical="top" wrapText="1"/>
    </x:xf>
    <x:xf numFmtId="200" fontId="10" fillId="0" borderId="10" xfId="0" applyNumberFormat="1" applyFont="1" applyFill="1" applyBorder="1" applyAlignment="1">
      <x:alignment vertical="top" wrapText="1"/>
    </x:xf>
    <x:xf numFmtId="201" fontId="10" fillId="0" borderId="10" xfId="0" applyNumberFormat="1" applyFont="1" applyFill="1" applyBorder="1" applyAlignment="1">
      <x:alignment vertical="top" wrapText="1"/>
    </x:xf>
    <x:xf numFmtId="0" fontId="10" fillId="0" borderId="11" xfId="0" applyNumberFormat="1" applyFont="1" applyFill="1" applyBorder="1" applyAlignment="1">
      <x:alignment vertical="top" wrapText="1"/>
    </x:xf>
    <x:xf numFmtId="200" fontId="10" fillId="0" borderId="11" xfId="0" applyNumberFormat="1" applyFont="1" applyFill="1" applyBorder="1" applyAlignment="1">
      <x:alignment vertical="top" wrapText="1"/>
    </x:xf>
    <x:xf numFmtId="201" fontId="10" fillId="0" borderId="11" xfId="0" applyNumberFormat="1" applyFont="1" applyFill="1" applyBorder="1" applyAlignment="1">
      <x:alignment vertical="top" wrapText="1"/>
    </x:xf>
    <x:xf numFmtId="0" fontId="10" fillId="0" borderId="12" xfId="0" applyNumberFormat="1" applyFont="1" applyFill="1" applyBorder="1" applyAlignment="1">
      <x:alignment vertical="top" wrapText="1"/>
    </x:xf>
    <x:xf numFmtId="200" fontId="10" fillId="0" borderId="12" xfId="0" applyNumberFormat="1" applyFont="1" applyFill="1" applyBorder="1" applyAlignment="1">
      <x:alignment vertical="top" wrapText="1"/>
    </x:xf>
    <x:xf numFmtId="201" fontId="1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22"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C4314B"/>
      </x:font>
      <x:fill>
        <x:patternFill patternType="solid">
          <x:bgColor rgb="FFFDE7E9"/>
        </x:patternFill>
      </x:fill>
    </x:dxf>
    <x:dxf>
      <x:font>
        <x:b/>
        <x:color rgb="FF8A5100"/>
      </x:font>
      <x:fill>
        <x:patternFill patternType="solid">
          <x:bgColor rgb="FFFFF4CE"/>
        </x:patternFill>
      </x:fill>
    </x:dxf>
    <x:dxf>
      <x:font>
        <x:b/>
        <x:color rgb="FF5C5C5C"/>
      </x:font>
      <x:fill>
        <x:patternFill patternType="solid">
          <x:bgColor rgb="FFEDEBE9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C4314B"/>
      </x:font>
      <x:fill>
        <x:patternFill patternType="solid">
          <x:bgColor rgb="FFFDE7E9"/>
        </x:patternFill>
      </x:fill>
    </x:dxf>
    <x:dxf>
      <x:font>
        <x:b/>
        <x:color rgb="FF8A5100"/>
      </x:font>
      <x:fill>
        <x:patternFill patternType="solid">
          <x:bgColor rgb="FFFFF4CE"/>
        </x:patternFill>
      </x:fill>
    </x:dxf>
    <x:dxf>
      <x:font>
        <x:b/>
        <x:color rgb="FF5C5C5C"/>
      </x:font>
      <x:fill>
        <x:patternFill patternType="solid">
          <x:bgColor rgb="FFEDEBE9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C4314B"/>
      </x:font>
      <x:fill>
        <x:patternFill patternType="solid">
          <x:bgColor rgb="FFFDE7E9"/>
        </x:patternFill>
      </x:fill>
    </x:dxf>
    <x:dxf>
      <x:font>
        <x:b/>
        <x:color rgb="FF8A5100"/>
      </x:font>
      <x:fill>
        <x:patternFill patternType="solid">
          <x:bgColor rgb="FFFFF4CE"/>
        </x:patternFill>
      </x:fill>
    </x:dxf>
    <x:dxf>
      <x:font>
        <x:b/>
        <x:color rgb="FF5C5C5C"/>
      </x:font>
      <x:fill>
        <x:patternFill patternType="solid">
          <x:bgColor rgb="FFEDEBE9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C4314B"/>
      </x:font>
      <x:fill>
        <x:patternFill patternType="solid">
          <x:bgColor rgb="FFFDE7E9"/>
        </x:patternFill>
      </x:fill>
    </x:dxf>
    <x:dxf>
      <x:font>
        <x:b/>
        <x:color rgb="FF8A5100"/>
      </x:font>
      <x:fill>
        <x:patternFill patternType="solid">
          <x:bgColor rgb="FFFFF4CE"/>
        </x:patternFill>
      </x:fill>
    </x:dxf>
    <x:dxf>
      <x:font>
        <x:b/>
        <x:color rgb="FF5C5C5C"/>
      </x:font>
      <x:fill>
        <x:patternFill patternType="solid">
          <x:bgColor rgb="FFEDEBE9"/>
        </x:patternFill>
      </x:fill>
    </x:dxf>
    <x:dxf>
      <x:font>
        <x:b/>
        <x:color rgb="FF107C10"/>
      </x:font>
      <x:fill>
        <x:patternFill patternType="solid">
          <x:bgColor rgb="FFDFF6DD"/>
        </x:patternFill>
      </x:fill>
    </x:dxf>
    <x:dxf>
      <x:font>
        <x:b/>
        <x:color rgb="FFC4314B"/>
      </x:font>
      <x:fill>
        <x:patternFill patternType="solid">
          <x:bgColor rgb="FF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94a6163014536" /><Relationship Type="http://schemas.openxmlformats.org/officeDocument/2006/relationships/theme" Target="/xl/theme/theme1.xml" Id="R862443e7f0d34d6a" /><Relationship Type="http://schemas.openxmlformats.org/officeDocument/2006/relationships/sharedStrings" Target="/xl/sharedStrings.xml" Id="Rb7ada0dbdd3e4956" /><Relationship Type="http://schemas.openxmlformats.org/officeDocument/2006/relationships/worksheet" Target="/xl/worksheets/sheet1.xml" Id="Rc504e7bb9dfc4ed6" /><Relationship Type="http://schemas.openxmlformats.org/officeDocument/2006/relationships/worksheet" Target="/xl/worksheets/sheet2.xml" Id="R28fbe6b96e4c4e37" /><Relationship Type="http://schemas.openxmlformats.org/officeDocument/2006/relationships/worksheet" Target="/xl/worksheets/sheet3.xml" Id="R5b2ee2f150494beb" /><Relationship Type="http://schemas.openxmlformats.org/officeDocument/2006/relationships/worksheet" Target="/xl/worksheets/sheet4.xml" Id="Rf59c291749c646b2" /><Relationship Type="http://schemas.openxmlformats.org/officeDocument/2006/relationships/worksheet" Target="/xl/worksheets/sheet5.xml" Id="Rb88ad4f48e5c4728" /><Relationship Type="http://schemas.openxmlformats.org/officeDocument/2006/relationships/worksheet" Target="/xl/worksheets/sheet6.xml" Id="Ra879e1ab7a1a424f" /></Relationships>
</file>

<file path=xl/tables/table1.xml><?xml version="1.0" encoding="utf-8"?>
<x:table xmlns:x="http://schemas.openxmlformats.org/spreadsheetml/2006/main" id="1" name="RequirementsTable" displayName="RequirementsTable" ref="A4:N24" headerRowCount="1" totalsRowCount="0" totalsRowShown="0">
  <x:tableColumns count="14">
    <x:tableColumn id="1" name="Requirement ID"/>
    <x:tableColumn id="2" name="Type"/>
    <x:tableColumn id="3" name="Title"/>
    <x:tableColumn id="4" name="Statement"/>
    <x:tableColumn id="5" name="Rationale"/>
    <x:tableColumn id="6" name="Source"/>
    <x:tableColumn id="7" name="Evidence Status"/>
    <x:tableColumn id="8" name="Approval Status"/>
    <x:tableColumn id="9" name="Owner"/>
    <x:tableColumn id="10" name="Priority"/>
    <x:tableColumn id="11" name="Acceptance Criteria"/>
    <x:tableColumn id="12" name="RetentionYears"/>
    <x:tableColumn id="13" name="Last Updated"/>
    <x:tableColumn id="14" name="Data Class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" displayName="EvidenceTable" ref="A4:N18" headerRowCount="1" totalsRowCount="0" totalsRowShown="0">
  <x:tableColumns count="14">
    <x:tableColumn id="1" name="Evidence ID"/>
    <x:tableColumn id="2" name="Source Type"/>
    <x:tableColumn id="3" name="Source Title"/>
    <x:tableColumn id="4" name="Date / Version"/>
    <x:tableColumn id="5" name="Author / Speaker"/>
    <x:tableColumn id="6" name="Evidence Summary"/>
    <x:tableColumn id="7" name="Statement Type"/>
    <x:tableColumn id="8" name="Traceable?"/>
    <x:tableColumn id="9" name="Authorised?"/>
    <x:tableColumn id="10" name="Evidence Status"/>
    <x:tableColumn id="11" name="Conflict?"/>
    <x:tableColumn id="12" name="Decision Owner"/>
    <x:tableColumn id="13" name="Approval"/>
    <x:tableColumn id="14" name="Transfer Eligi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lictLogTable" displayName="ConflictLogTable" ref="A4:H9" headerRowCount="1" totalsRowCount="0" totalsRowShown="0">
  <x:tableColumns count="8">
    <x:tableColumn id="1" name="Conflict ID"/>
    <x:tableColumn id="2" name="Topic"/>
    <x:tableColumn id="3" name="Evidence A"/>
    <x:tableColumn id="4" name="Evidence B"/>
    <x:tableColumn id="5" name="Resolver"/>
    <x:tableColumn id="6" name="Resolution Status"/>
    <x:tableColumn id="7" name="Approved Resolution"/>
    <x:tableColumn id="8" name="Register Treat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provedUpdatesTable" displayName="ApprovedUpdatesTable" ref="A4:M10" headerRowCount="1" totalsRowCount="0" totalsRowShown="0">
  <x:tableColumns count="13">
    <x:tableColumn id="1" name="Update ID"/>
    <x:tableColumn id="2" name="Action"/>
    <x:tableColumn id="3" name="Requirement ID"/>
    <x:tableColumn id="4" name="Field"/>
    <x:tableColumn id="5" name="Current Value"/>
    <x:tableColumn id="6" name="Approved Value"/>
    <x:tableColumn id="7" name="New Type"/>
    <x:tableColumn id="8" name="New Title"/>
    <x:tableColumn id="9" name="New Statement"/>
    <x:tableColumn id="10" name="Evidence"/>
    <x:tableColumn id="11" name="Decision Owner"/>
    <x:tableColumn id="12" name="Approved?"/>
    <x:tableColumn id="13" name="Preser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67145850f745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20e2e813cd4e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aa18ac02f649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e5a7ffcaa749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8" hidden="0" customWidth="1"/>
    <x:col min="3" max="3" width="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57" t="str">
        <x:v>Lab 9 - Project Nova Requirements Register</x:v>
      </x:c>
      <x:c r="B1" s="57"/>
      <x:c r="C1" s="57"/>
      <x:c r="D1" s="57"/>
      <x:c r="E1" s="57"/>
      <x:c r="F1" s="57"/>
    </x:row>
    <x:row r="2" ht="36" customHeight="1">
      <x:c r="A2" s="58" t="str">
        <x:v>Controlled exercise workbook. The Requirements Register is the target; evidence and approval sheets govern what Copilot may change.</x:v>
      </x:c>
      <x:c r="B2" s="58"/>
      <x:c r="C2" s="58"/>
      <x:c r="D2" s="58"/>
      <x:c r="E2" s="58"/>
      <x:c r="F2" s="58"/>
    </x:row>
    <x:row r="3">
      <x:c r="A3" s="59"/>
      <x:c r="B3" s="59"/>
      <x:c r="C3" s="59"/>
      <x:c r="D3" s="59"/>
      <x:c r="E3" s="59"/>
      <x:c r="F3" s="59"/>
    </x:row>
    <x:row r="4" ht="38" customHeight="1">
      <x:c r="A4" s="60" t="str">
        <x:v>Step</x:v>
      </x:c>
      <x:c r="B4" s="61" t="str">
        <x:v>Instruction</x:v>
      </x:c>
      <x:c r="C4" s="59"/>
      <x:c r="D4" s="62" t="str">
        <x:v>Direct-update prompt</x:v>
      </x:c>
      <x:c r="E4" s="62"/>
      <x:c r="F4" s="62"/>
    </x:row>
    <x:row r="5" ht="40" customHeight="1">
      <x:c r="A5" s="63" t="str">
        <x:v>1</x:v>
      </x:c>
      <x:c r="B5" s="64" t="str">
        <x:v>Save this workbook in the approved SharePoint workshop folder.</x:v>
      </x:c>
      <x:c r="C5" s="59"/>
      <x:c r="D5" s="65" t="str">
        <x:v>Apply only rows marked Approved = Yes in Approved Updates directly to RequirementsTable. Preview the exact rows and cells before applying. For NFR-003 change only RetentionYears from 3 to 7. Preserve every other existing value, formula and format. Add approved new requirements as Proposed. After applying, report every changed cell and verify Unchanged Controls.</x:v>
      </x:c>
      <x:c r="E5" s="65"/>
      <x:c r="F5" s="65"/>
    </x:row>
    <x:row r="6" ht="40" customHeight="1">
      <x:c r="A6" s="66" t="str">
        <x:v>2</x:v>
      </x:c>
      <x:c r="B6" s="67" t="str">
        <x:v>Use the agent to analyse and propose; do not treat agent output as approval.</x:v>
      </x:c>
      <x:c r="C6" s="59"/>
      <x:c r="D6" s="65"/>
      <x:c r="E6" s="65"/>
      <x:c r="F6" s="65"/>
    </x:row>
    <x:row r="7" ht="40" customHeight="1">
      <x:c r="A7" s="66" t="str">
        <x:v>3</x:v>
      </x:c>
      <x:c r="B7" s="67" t="str">
        <x:v>Apply TRUST before any transfer.</x:v>
      </x:c>
      <x:c r="C7" s="59"/>
      <x:c r="D7" s="65"/>
      <x:c r="E7" s="65"/>
      <x:c r="F7" s="65"/>
    </x:row>
    <x:row r="8" ht="40" customHeight="1">
      <x:c r="A8" s="66" t="str">
        <x:v>4</x:v>
      </x:c>
      <x:c r="B8" s="67" t="str">
        <x:v>Use Approved Updates as the human-authorised update instruction.</x:v>
      </x:c>
      <x:c r="C8" s="59"/>
      <x:c r="D8" s="65"/>
      <x:c r="E8" s="65"/>
      <x:c r="F8" s="65"/>
    </x:row>
    <x:row r="9" ht="40" customHeight="1">
      <x:c r="A9" s="66" t="str">
        <x:v>5</x:v>
      </x:c>
      <x:c r="B9" s="67" t="str">
        <x:v>Open this workbook in Excel for the web and ask Copilot in Excel to preview exact cells.</x:v>
      </x:c>
      <x:c r="C9" s="59"/>
      <x:c r="D9" s="65"/>
      <x:c r="E9" s="65"/>
      <x:c r="F9" s="65"/>
    </x:row>
    <x:row r="10" ht="40" customHeight="1">
      <x:c r="A10" s="66" t="str">
        <x:v>6</x:v>
      </x:c>
      <x:c r="B10" s="67" t="str">
        <x:v>Apply only approved changes directly. Do not manually copy rows from chat.</x:v>
      </x:c>
      <x:c r="C10" s="59"/>
      <x:c r="D10" s="65"/>
      <x:c r="E10" s="65"/>
      <x:c r="F10" s="65"/>
    </x:row>
    <x:row r="11" ht="40" customHeight="1">
      <x:c r="A11" s="66" t="str">
        <x:v>7</x:v>
      </x:c>
      <x:c r="B11" s="67" t="str">
        <x:v>After applying, ask Copilot to report changed cells.</x:v>
      </x:c>
      <x:c r="C11" s="59"/>
      <x:c r="D11" s="65"/>
      <x:c r="E11" s="65"/>
      <x:c r="F11" s="65"/>
    </x:row>
    <x:row r="12" ht="40" customHeight="1">
      <x:c r="A12" s="68" t="str">
        <x:v>8</x:v>
      </x:c>
      <x:c r="B12" s="69" t="str">
        <x:v>Verify Unchanged Controls and keep blocked items out of the register.</x:v>
      </x:c>
      <x:c r="C12" s="59"/>
      <x:c r="D12" s="65"/>
      <x:c r="E12" s="65"/>
      <x:c r="F12" s="65"/>
    </x:row>
  </x:sheetData>
  <x:mergeCells>
    <x:mergeCell ref="A1:F1"/>
    <x:mergeCell ref="A2:F2"/>
    <x:mergeCell ref="D4:F4"/>
    <x:mergeCell ref="D5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6" hidden="0" customWidth="1"/>
    <x:col min="4" max="4" width="72" hidden="0" customWidth="1"/>
    <x:col min="5" max="5" width="40" hidden="0" customWidth="1"/>
    <x:col min="6" max="6" width="30" hidden="0" customWidth="1"/>
    <x:col min="7" max="7" width="18" hidden="0" customWidth="1"/>
    <x:col min="8" max="8" width="20" hidden="0" customWidth="1"/>
    <x:col min="9" max="9" width="20" hidden="0" customWidth="1"/>
    <x:col min="10" max="10" width="14" hidden="0" customWidth="1"/>
    <x:col min="11" max="11" width="68" hidden="0" customWidth="1"/>
    <x:col min="12" max="12" width="18" hidden="0" customWidth="1"/>
    <x:col min="13" max="13" width="16" hidden="0" customWidth="1"/>
    <x:col min="14" max="14" width="24" hidden="0" customWidth="1"/>
  </x:cols>
  <x:sheetData>
    <x:row r="1" ht="32" customHeight="1">
      <x:c r="A1" s="57" t="str">
        <x:v>Project Nova Requirements Register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36" customHeight="1">
      <x:c r="A2" s="58" t="str">
        <x:v>Existing controlled requirements plus reserved rows for approved candidate write-back.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</x:row>
    <x:row r="4" ht="38" customHeight="1">
      <x:c r="A4" s="60" t="str">
        <x:v>Requirement ID</x:v>
      </x:c>
      <x:c r="B4" s="70" t="str">
        <x:v>Type</x:v>
      </x:c>
      <x:c r="C4" s="70" t="str">
        <x:v>Title</x:v>
      </x:c>
      <x:c r="D4" s="70" t="str">
        <x:v>Statement</x:v>
      </x:c>
      <x:c r="E4" s="70" t="str">
        <x:v>Rationale</x:v>
      </x:c>
      <x:c r="F4" s="70" t="str">
        <x:v>Source</x:v>
      </x:c>
      <x:c r="G4" s="70" t="str">
        <x:v>Evidence Status</x:v>
      </x:c>
      <x:c r="H4" s="70" t="str">
        <x:v>Approval Status</x:v>
      </x:c>
      <x:c r="I4" s="70" t="str">
        <x:v>Owner</x:v>
      </x:c>
      <x:c r="J4" s="70" t="str">
        <x:v>Priority</x:v>
      </x:c>
      <x:c r="K4" s="70" t="str">
        <x:v>Acceptance Criteria</x:v>
      </x:c>
      <x:c r="L4" s="70" t="str">
        <x:v>RetentionYears</x:v>
      </x:c>
      <x:c r="M4" s="70" t="str">
        <x:v>Last Updated</x:v>
      </x:c>
      <x:c r="N4" s="61" t="str">
        <x:v>Data Classification</x:v>
      </x:c>
    </x:row>
    <x:row r="5" ht="58" customHeight="1">
      <x:c r="A5" s="63" t="str">
        <x:v>BR-001</x:v>
      </x:c>
      <x:c r="B5" s="71" t="str">
        <x:v>Business</x:v>
      </x:c>
      <x:c r="C5" s="71" t="str">
        <x:v>Central intake</x:v>
      </x:c>
      <x:c r="D5" s="71" t="str">
        <x:v>The solution shall provide one visible intake route for access requests to the five pilot applications.</x:v>
      </x:c>
      <x:c r="E5" s="71" t="str">
        <x:v>Reduce fragmented email and chat intake</x:v>
      </x:c>
      <x:c r="F5" s="71" t="str">
        <x:v>Business Brief</x:v>
      </x:c>
      <x:c r="G5" s="71" t="str">
        <x:v>Confirmed</x:v>
      </x:c>
      <x:c r="H5" s="71" t="str">
        <x:v>Approved</x:v>
      </x:c>
      <x:c r="I5" s="71" t="str">
        <x:v>Maya Chen</x:v>
      </x:c>
      <x:c r="J5" s="71" t="str">
        <x:v>High</x:v>
      </x:c>
      <x:c r="K5" s="71" t="str">
        <x:v>A requester can submit a request for each pilot application through the approved intake route.</x:v>
      </x:c>
      <x:c r="L5" s="72"/>
      <x:c r="M5" s="73" t="n">
        <x:v>46252</x:v>
      </x:c>
      <x:c r="N5" s="64" t="str">
        <x:v>Synthetic training data</x:v>
      </x:c>
    </x:row>
    <x:row r="6" ht="58" customHeight="1">
      <x:c r="A6" s="66" t="str">
        <x:v>FR-001</x:v>
      </x:c>
      <x:c r="B6" s="74" t="str">
        <x:v>Functional</x:v>
      </x:c>
      <x:c r="C6" s="74" t="str">
        <x:v>Standard approval</x:v>
      </x:c>
      <x:c r="D6" s="74" t="str">
        <x:v>The solution shall route a complete standard-access request to the line manager and any required application approver.</x:v>
      </x:c>
      <x:c r="E6" s="74" t="str">
        <x:v>Apply accountable approval</x:v>
      </x:c>
      <x:c r="F6" s="74" t="str">
        <x:v>Business Brief; current process</x:v>
      </x:c>
      <x:c r="G6" s="74" t="str">
        <x:v>Proposed</x:v>
      </x:c>
      <x:c r="H6" s="74" t="str">
        <x:v>Proposed</x:v>
      </x:c>
      <x:c r="I6" s="74" t="str">
        <x:v>Anna Larsen</x:v>
      </x:c>
      <x:c r="J6" s="74" t="str">
        <x:v>High</x:v>
      </x:c>
      <x:c r="K6" s="74" t="str">
        <x:v>A complete standard request records all required approvals before fulfilment.</x:v>
      </x:c>
      <x:c r="L6" s="75"/>
      <x:c r="M6" s="76" t="n">
        <x:v>46254</x:v>
      </x:c>
      <x:c r="N6" s="67" t="str">
        <x:v>Synthetic training data</x:v>
      </x:c>
    </x:row>
    <x:row r="7" ht="58" customHeight="1">
      <x:c r="A7" s="66" t="str">
        <x:v>FR-002</x:v>
      </x:c>
      <x:c r="B7" s="74" t="str">
        <x:v>Functional</x:v>
      </x:c>
      <x:c r="C7" s="74" t="str">
        <x:v>Privileged approval</x:v>
      </x:c>
      <x:c r="D7" s="74" t="str">
        <x:v>The solution shall require application-owner and Security approval before privileged access is fulfilled.</x:v>
      </x:c>
      <x:c r="E7" s="74" t="str">
        <x:v>Protect privileged access</x:v>
      </x:c>
      <x:c r="F7" s="74" t="str">
        <x:v>SEC-AC-004 v4.2</x:v>
      </x:c>
      <x:c r="G7" s="74" t="str">
        <x:v>Confirmed</x:v>
      </x:c>
      <x:c r="H7" s="74" t="str">
        <x:v>Approved</x:v>
      </x:c>
      <x:c r="I7" s="74" t="str">
        <x:v>Omar Rahman</x:v>
      </x:c>
      <x:c r="J7" s="74" t="str">
        <x:v>Critical</x:v>
      </x:c>
      <x:c r="K7" s="74" t="str">
        <x:v>The request cannot reach fulfilment until both timestamped approvals exist.</x:v>
      </x:c>
      <x:c r="L7" s="75"/>
      <x:c r="M7" s="76" t="n">
        <x:v>46261</x:v>
      </x:c>
      <x:c r="N7" s="67" t="str">
        <x:v>Synthetic training data</x:v>
      </x:c>
    </x:row>
    <x:row r="8" ht="58" customHeight="1">
      <x:c r="A8" s="66" t="str">
        <x:v>BR-002</x:v>
      </x:c>
      <x:c r="B8" s="74" t="str">
        <x:v>Business rule</x:v>
      </x:c>
      <x:c r="C8" s="74" t="str">
        <x:v>No self-approval</x:v>
      </x:c>
      <x:c r="D8" s="74" t="str">
        <x:v>A requester or fulfiller shall not approve their own privileged access.</x:v>
      </x:c>
      <x:c r="E8" s="74" t="str">
        <x:v>Maintain segregation of duties</x:v>
      </x:c>
      <x:c r="F8" s="74" t="str">
        <x:v>SEC-AC-004 v4.2</x:v>
      </x:c>
      <x:c r="G8" s="74" t="str">
        <x:v>Confirmed</x:v>
      </x:c>
      <x:c r="H8" s="74" t="str">
        <x:v>Approved</x:v>
      </x:c>
      <x:c r="I8" s="74" t="str">
        <x:v>Omar Rahman</x:v>
      </x:c>
      <x:c r="J8" s="74" t="str">
        <x:v>Critical</x:v>
      </x:c>
      <x:c r="K8" s="74" t="str">
        <x:v>A self-approval attempt is blocked and recorded.</x:v>
      </x:c>
      <x:c r="L8" s="75"/>
      <x:c r="M8" s="76" t="n">
        <x:v>46261</x:v>
      </x:c>
      <x:c r="N8" s="67" t="str">
        <x:v>Synthetic training data</x:v>
      </x:c>
    </x:row>
    <x:row r="9" ht="58" customHeight="1">
      <x:c r="A9" s="66" t="str">
        <x:v>NFR-001</x:v>
      </x:c>
      <x:c r="B9" s="74" t="str">
        <x:v>Non-functional</x:v>
      </x:c>
      <x:c r="C9" s="74" t="str">
        <x:v>Availability</x:v>
      </x:c>
      <x:c r="D9" s="74" t="str">
        <x:v>The portal should be available 99.5% of business hours.</x:v>
      </x:c>
      <x:c r="E9" s="74" t="str">
        <x:v>Support operational use</x:v>
      </x:c>
      <x:c r="F9" s="74" t="str">
        <x:v>Stakeholder proposal</x:v>
      </x:c>
      <x:c r="G9" s="74" t="str">
        <x:v>Proposed</x:v>
      </x:c>
      <x:c r="H9" s="74" t="str">
        <x:v>Not approved</x:v>
      </x:c>
      <x:c r="I9" s="74" t="str">
        <x:v>Maya Chen</x:v>
      </x:c>
      <x:c r="J9" s="74" t="str">
        <x:v>Medium</x:v>
      </x:c>
      <x:c r="K9" s="74" t="str">
        <x:v>Monthly availability is at least 99.5% during business hours.</x:v>
      </x:c>
      <x:c r="L9" s="75"/>
      <x:c r="M9" s="76" t="n">
        <x:v>46255</x:v>
      </x:c>
      <x:c r="N9" s="67" t="str">
        <x:v>Synthetic training data</x:v>
      </x:c>
    </x:row>
    <x:row r="10" ht="58" customHeight="1">
      <x:c r="A10" s="66" t="str">
        <x:v>NFR-002</x:v>
      </x:c>
      <x:c r="B10" s="74" t="str">
        <x:v>Non-functional</x:v>
      </x:c>
      <x:c r="C10" s="74" t="str">
        <x:v>Usability</x:v>
      </x:c>
      <x:c r="D10" s="74" t="str">
        <x:v>The portal shall be easy to use.</x:v>
      </x:c>
      <x:c r="E10" s="74" t="str">
        <x:v>Reduce clarification</x:v>
      </x:c>
      <x:c r="F10" s="74" t="str">
        <x:v>Stakeholder statement</x:v>
      </x:c>
      <x:c r="G10" s="74" t="str">
        <x:v>Not confirmed</x:v>
      </x:c>
      <x:c r="H10" s="74" t="str">
        <x:v>Blocked</x:v>
      </x:c>
      <x:c r="I10" s="74" t="str">
        <x:v>Maya Chen</x:v>
      </x:c>
      <x:c r="J10" s="74" t="str">
        <x:v>Medium</x:v>
      </x:c>
      <x:c r="K10" s="74" t="str">
        <x:v>Not defined.</x:v>
      </x:c>
      <x:c r="L10" s="75"/>
      <x:c r="M10" s="76" t="n">
        <x:v>46255</x:v>
      </x:c>
      <x:c r="N10" s="67" t="str">
        <x:v>Synthetic training data</x:v>
      </x:c>
    </x:row>
    <x:row r="11" ht="58" customHeight="1">
      <x:c r="A11" s="66" t="str">
        <x:v>NFR-003</x:v>
      </x:c>
      <x:c r="B11" s="74" t="str">
        <x:v>Non-functional</x:v>
      </x:c>
      <x:c r="C11" s="74" t="str">
        <x:v>Audit evidence retention</x:v>
      </x:c>
      <x:c r="D11" s="74" t="str">
        <x:v>The solution shall retain access-decision evidence for the approved retention period.</x:v>
      </x:c>
      <x:c r="E11" s="74" t="str">
        <x:v>Support auditability</x:v>
      </x:c>
      <x:c r="F11" s="74" t="str">
        <x:v>Legacy work instruction</x:v>
      </x:c>
      <x:c r="G11" s="74" t="str">
        <x:v>Conflict</x:v>
      </x:c>
      <x:c r="H11" s="74" t="str">
        <x:v>Approved field update</x:v>
      </x:c>
      <x:c r="I11" s="74" t="str">
        <x:v>Nina Patel</x:v>
      </x:c>
      <x:c r="J11" s="74" t="str">
        <x:v>Critical</x:v>
      </x:c>
      <x:c r="K11" s="74" t="str">
        <x:v>Evidence remains retrievable with requester, subject, application, decision, approvers and timestamps.</x:v>
      </x:c>
      <x:c r="L11" s="75" t="n">
        <x:v>3</x:v>
      </x:c>
      <x:c r="M11" s="76" t="n">
        <x:v>46252</x:v>
      </x:c>
      <x:c r="N11" s="67" t="str">
        <x:v>Synthetic training data</x:v>
      </x:c>
    </x:row>
    <x:row r="12" ht="58" customHeight="1">
      <x:c r="A12" s="66" t="str">
        <x:v>INT-001</x:v>
      </x:c>
      <x:c r="B12" s="74" t="str">
        <x:v>Integration</x:v>
      </x:c>
      <x:c r="C12" s="74" t="str">
        <x:v>ServiceNow ticket</x:v>
      </x:c>
      <x:c r="D12" s="74" t="str">
        <x:v>The solution shall create a ServiceNow ticket after a complete request is accepted for processing.</x:v>
      </x:c>
      <x:c r="E12" s="74" t="str">
        <x:v>Create operational record</x:v>
      </x:c>
      <x:c r="F12" s="74" t="str">
        <x:v>Application Catalogue</x:v>
      </x:c>
      <x:c r="G12" s="74" t="str">
        <x:v>Confirmed</x:v>
      </x:c>
      <x:c r="H12" s="74" t="str">
        <x:v>Proposed</x:v>
      </x:c>
      <x:c r="I12" s="74" t="str">
        <x:v>Leo Martins</x:v>
      </x:c>
      <x:c r="J12" s="74" t="str">
        <x:v>High</x:v>
      </x:c>
      <x:c r="K12" s="74" t="str">
        <x:v>A request creates one ticket with the required identifiers after human approval.</x:v>
      </x:c>
      <x:c r="L12" s="75"/>
      <x:c r="M12" s="76" t="n">
        <x:v>46258</x:v>
      </x:c>
      <x:c r="N12" s="67" t="str">
        <x:v>Synthetic training data</x:v>
      </x:c>
    </x:row>
    <x:row r="13" ht="58" customHeight="1">
      <x:c r="A13" s="66" t="str">
        <x:v>DR-001</x:v>
      </x:c>
      <x:c r="B13" s="74" t="str">
        <x:v>Data</x:v>
      </x:c>
      <x:c r="C13" s="74" t="str">
        <x:v>Joiner data</x:v>
      </x:c>
      <x:c r="D13" s="74" t="str">
        <x:v>The solution shall capture worker ID, worker type, manager and start date for joiner requests.</x:v>
      </x:c>
      <x:c r="E13" s="74" t="str">
        <x:v>Support onboarding decisions</x:v>
      </x:c>
      <x:c r="F13" s="74" t="str">
        <x:v>HR interview</x:v>
      </x:c>
      <x:c r="G13" s="74" t="str">
        <x:v>Confirmed</x:v>
      </x:c>
      <x:c r="H13" s="74" t="str">
        <x:v>Proposed</x:v>
      </x:c>
      <x:c r="I13" s="74" t="str">
        <x:v>Eva Sorensen</x:v>
      </x:c>
      <x:c r="J13" s="74" t="str">
        <x:v>High</x:v>
      </x:c>
      <x:c r="K13" s="74" t="str">
        <x:v>All four values are present before approval routing.</x:v>
      </x:c>
      <x:c r="L13" s="75"/>
      <x:c r="M13" s="76" t="n">
        <x:v>46258</x:v>
      </x:c>
      <x:c r="N13" s="67" t="str">
        <x:v>Synthetic training data</x:v>
      </x:c>
    </x:row>
    <x:row r="14" ht="58" customHeight="1">
      <x:c r="A14" s="66" t="str"/>
      <x:c r="B14" s="74" t="str"/>
      <x:c r="C14" s="74" t="str"/>
      <x:c r="D14" s="74" t="str"/>
      <x:c r="E14" s="74" t="str"/>
      <x:c r="F14" s="74" t="str"/>
      <x:c r="G14" s="74" t="str"/>
      <x:c r="H14" s="74" t="str"/>
      <x:c r="I14" s="74" t="str"/>
      <x:c r="J14" s="74" t="str"/>
      <x:c r="K14" s="74" t="str"/>
      <x:c r="L14" s="75" t="str"/>
      <x:c r="M14" s="76" t="str"/>
      <x:c r="N14" s="67" t="str"/>
    </x:row>
    <x:row r="15" ht="58" customHeight="1">
      <x:c r="A15" s="66" t="str"/>
      <x:c r="B15" s="74" t="str"/>
      <x:c r="C15" s="74" t="str"/>
      <x:c r="D15" s="74" t="str"/>
      <x:c r="E15" s="74" t="str"/>
      <x:c r="F15" s="74" t="str"/>
      <x:c r="G15" s="74" t="str"/>
      <x:c r="H15" s="74" t="str"/>
      <x:c r="I15" s="74" t="str"/>
      <x:c r="J15" s="74" t="str"/>
      <x:c r="K15" s="74" t="str"/>
      <x:c r="L15" s="75" t="str"/>
      <x:c r="M15" s="76" t="str"/>
      <x:c r="N15" s="67" t="str"/>
    </x:row>
    <x:row r="16" ht="58" customHeight="1">
      <x:c r="A16" s="66" t="str"/>
      <x:c r="B16" s="74" t="str"/>
      <x:c r="C16" s="74" t="str"/>
      <x:c r="D16" s="74" t="str"/>
      <x:c r="E16" s="74" t="str"/>
      <x:c r="F16" s="74" t="str"/>
      <x:c r="G16" s="74" t="str"/>
      <x:c r="H16" s="74" t="str"/>
      <x:c r="I16" s="74" t="str"/>
      <x:c r="J16" s="74" t="str"/>
      <x:c r="K16" s="74" t="str"/>
      <x:c r="L16" s="75" t="str"/>
      <x:c r="M16" s="76" t="str"/>
      <x:c r="N16" s="67" t="str"/>
    </x:row>
    <x:row r="17" ht="58" customHeight="1">
      <x:c r="A17" s="66" t="str"/>
      <x:c r="B17" s="74" t="str"/>
      <x:c r="C17" s="74" t="str"/>
      <x:c r="D17" s="74" t="str"/>
      <x:c r="E17" s="74" t="str"/>
      <x:c r="F17" s="74" t="str"/>
      <x:c r="G17" s="74" t="str"/>
      <x:c r="H17" s="74" t="str"/>
      <x:c r="I17" s="74" t="str"/>
      <x:c r="J17" s="74" t="str"/>
      <x:c r="K17" s="74" t="str"/>
      <x:c r="L17" s="75" t="str"/>
      <x:c r="M17" s="76" t="str"/>
      <x:c r="N17" s="67" t="str"/>
    </x:row>
    <x:row r="18" ht="58" customHeight="1">
      <x:c r="A18" s="66" t="str"/>
      <x:c r="B18" s="74" t="str"/>
      <x:c r="C18" s="74" t="str"/>
      <x:c r="D18" s="74" t="str"/>
      <x:c r="E18" s="74" t="str"/>
      <x:c r="F18" s="74" t="str"/>
      <x:c r="G18" s="74" t="str"/>
      <x:c r="H18" s="74" t="str"/>
      <x:c r="I18" s="74" t="str"/>
      <x:c r="J18" s="74" t="str"/>
      <x:c r="K18" s="74" t="str"/>
      <x:c r="L18" s="75" t="str"/>
      <x:c r="M18" s="76" t="str"/>
      <x:c r="N18" s="67" t="str"/>
    </x:row>
    <x:row r="19" ht="58" customHeight="1">
      <x:c r="A19" s="66" t="str"/>
      <x:c r="B19" s="74" t="str"/>
      <x:c r="C19" s="74" t="str"/>
      <x:c r="D19" s="74" t="str"/>
      <x:c r="E19" s="74" t="str"/>
      <x:c r="F19" s="74" t="str"/>
      <x:c r="G19" s="74" t="str"/>
      <x:c r="H19" s="74" t="str"/>
      <x:c r="I19" s="74" t="str"/>
      <x:c r="J19" s="74" t="str"/>
      <x:c r="K19" s="74" t="str"/>
      <x:c r="L19" s="75" t="str"/>
      <x:c r="M19" s="76" t="str"/>
      <x:c r="N19" s="67" t="str"/>
    </x:row>
    <x:row r="20" ht="58" customHeight="1">
      <x:c r="A20" s="66" t="str"/>
      <x:c r="B20" s="74" t="str"/>
      <x:c r="C20" s="74" t="str"/>
      <x:c r="D20" s="74" t="str"/>
      <x:c r="E20" s="74" t="str"/>
      <x:c r="F20" s="74" t="str"/>
      <x:c r="G20" s="74" t="str"/>
      <x:c r="H20" s="74" t="str"/>
      <x:c r="I20" s="74" t="str"/>
      <x:c r="J20" s="74" t="str"/>
      <x:c r="K20" s="74" t="str"/>
      <x:c r="L20" s="75" t="str"/>
      <x:c r="M20" s="76" t="str"/>
      <x:c r="N20" s="67" t="str"/>
    </x:row>
    <x:row r="21" ht="58" customHeight="1">
      <x:c r="A21" s="66" t="str"/>
      <x:c r="B21" s="74" t="str"/>
      <x:c r="C21" s="74" t="str"/>
      <x:c r="D21" s="74" t="str"/>
      <x:c r="E21" s="74" t="str"/>
      <x:c r="F21" s="74" t="str"/>
      <x:c r="G21" s="74" t="str"/>
      <x:c r="H21" s="74" t="str"/>
      <x:c r="I21" s="74" t="str"/>
      <x:c r="J21" s="74" t="str"/>
      <x:c r="K21" s="74" t="str"/>
      <x:c r="L21" s="75" t="str"/>
      <x:c r="M21" s="76" t="str"/>
      <x:c r="N21" s="67" t="str"/>
    </x:row>
    <x:row r="22" ht="58" customHeight="1">
      <x:c r="A22" s="66" t="str"/>
      <x:c r="B22" s="74" t="str"/>
      <x:c r="C22" s="74" t="str"/>
      <x:c r="D22" s="74" t="str"/>
      <x:c r="E22" s="74" t="str"/>
      <x:c r="F22" s="74" t="str"/>
      <x:c r="G22" s="74" t="str"/>
      <x:c r="H22" s="74" t="str"/>
      <x:c r="I22" s="74" t="str"/>
      <x:c r="J22" s="74" t="str"/>
      <x:c r="K22" s="74" t="str"/>
      <x:c r="L22" s="75" t="str"/>
      <x:c r="M22" s="76" t="str"/>
      <x:c r="N22" s="67" t="str"/>
    </x:row>
    <x:row r="23" ht="58" customHeight="1">
      <x:c r="A23" s="66" t="str"/>
      <x:c r="B23" s="74" t="str"/>
      <x:c r="C23" s="74" t="str"/>
      <x:c r="D23" s="74" t="str"/>
      <x:c r="E23" s="74" t="str"/>
      <x:c r="F23" s="74" t="str"/>
      <x:c r="G23" s="74" t="str"/>
      <x:c r="H23" s="74" t="str"/>
      <x:c r="I23" s="74" t="str"/>
      <x:c r="J23" s="74" t="str"/>
      <x:c r="K23" s="74" t="str"/>
      <x:c r="L23" s="75" t="str"/>
      <x:c r="M23" s="76" t="str"/>
      <x:c r="N23" s="67" t="str"/>
    </x:row>
    <x:row r="24" ht="58" customHeight="1">
      <x:c r="A24" s="68" t="str"/>
      <x:c r="B24" s="77" t="str"/>
      <x:c r="C24" s="77" t="str"/>
      <x:c r="D24" s="77" t="str"/>
      <x:c r="E24" s="77" t="str"/>
      <x:c r="F24" s="77" t="str"/>
      <x:c r="G24" s="77" t="str"/>
      <x:c r="H24" s="77" t="str"/>
      <x:c r="I24" s="77" t="str"/>
      <x:c r="J24" s="77" t="str"/>
      <x:c r="K24" s="77" t="str"/>
      <x:c r="L24" s="78" t="str"/>
      <x:c r="M24" s="79" t="str"/>
      <x:c r="N24" s="69" t="str"/>
    </x:row>
  </x:sheetData>
  <x:mergeCells>
    <x:mergeCell ref="A1:N1"/>
    <x:mergeCell ref="A2:N2"/>
  </x:mergeCells>
  <x:conditionalFormatting sqref="G5:H13">
    <x:cfRule type="containsText" dxfId="0" priority="1" operator="containsText" text="Confirmed"/>
    <x:cfRule type="containsText" dxfId="1" priority="2" operator="containsText" text="Approved"/>
    <x:cfRule type="containsText" dxfId="2" priority="3" operator="containsText" text="Conflict"/>
    <x:cfRule type="containsText" dxfId="3" priority="4" operator="containsText" text="Not confirmed"/>
    <x:cfRule type="containsText" dxfId="4" priority="5" operator="containsText" text="Out of scope"/>
  </x:conditionalFormatting>
  <x:dataValidations count="1">
    <x:dataValidation type="list" sqref="G5:G13">
      <x:formula1>"Confirmed,Proposed,Assumption,Conflict,Not confirmed,Superseded,Out of scope"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67145850f745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20" hidden="0" customWidth="1"/>
    <x:col min="5" max="5" width="22" hidden="0" customWidth="1"/>
    <x:col min="6" max="6" width="64" hidden="0" customWidth="1"/>
    <x:col min="7" max="7" width="20" hidden="0" customWidth="1"/>
    <x:col min="8" max="8" width="15" hidden="0" customWidth="1"/>
    <x:col min="9" max="9" width="16" hidden="0" customWidth="1"/>
    <x:col min="10" max="10" width="18" hidden="0" customWidth="1"/>
    <x:col min="11" max="11" width="14" hidden="0" customWidth="1"/>
    <x:col min="12" max="12" width="20" hidden="0" customWidth="1"/>
    <x:col min="13" max="13" width="15" hidden="0" customWidth="1"/>
    <x:col min="14" max="14" width="18" hidden="0" customWidth="1"/>
  </x:cols>
  <x:sheetData>
    <x:row r="1" ht="32" customHeight="1">
      <x:c r="A1" s="57" t="str">
        <x:v>TRUST Evidence Register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</x:row>
    <x:row r="2" ht="36" customHeight="1">
      <x:c r="A2" s="58" t="str">
        <x:v>One evidence row per material statement. Transfer Eligible is calculated from traceability, authority, status, conflict and approval.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</x:row>
    <x:row r="4" ht="38" customHeight="1">
      <x:c r="A4" s="60" t="str">
        <x:v>Evidence ID</x:v>
      </x:c>
      <x:c r="B4" s="70" t="str">
        <x:v>Source Type</x:v>
      </x:c>
      <x:c r="C4" s="70" t="str">
        <x:v>Source Title</x:v>
      </x:c>
      <x:c r="D4" s="70" t="str">
        <x:v>Date / Version</x:v>
      </x:c>
      <x:c r="E4" s="70" t="str">
        <x:v>Author / Speaker</x:v>
      </x:c>
      <x:c r="F4" s="70" t="str">
        <x:v>Evidence Summary</x:v>
      </x:c>
      <x:c r="G4" s="70" t="str">
        <x:v>Statement Type</x:v>
      </x:c>
      <x:c r="H4" s="70" t="str">
        <x:v>Traceable?</x:v>
      </x:c>
      <x:c r="I4" s="70" t="str">
        <x:v>Authorised?</x:v>
      </x:c>
      <x:c r="J4" s="70" t="str">
        <x:v>Evidence Status</x:v>
      </x:c>
      <x:c r="K4" s="70" t="str">
        <x:v>Conflict?</x:v>
      </x:c>
      <x:c r="L4" s="70" t="str">
        <x:v>Decision Owner</x:v>
      </x:c>
      <x:c r="M4" s="70" t="str">
        <x:v>Approval</x:v>
      </x:c>
      <x:c r="N4" s="61" t="str">
        <x:v>Transfer Eligible</x:v>
      </x:c>
    </x:row>
    <x:row r="5" ht="56" customHeight="1">
      <x:c r="A5" s="63" t="str">
        <x:v>EV-001</x:v>
      </x:c>
      <x:c r="B5" s="71" t="str">
        <x:v>Approved policy</x:v>
      </x:c>
      <x:c r="C5" s="71" t="str">
        <x:v>SEC-AC-004 v4.2</x:v>
      </x:c>
      <x:c r="D5" s="71" t="str">
        <x:v>01 Jul 2026</x:v>
      </x:c>
      <x:c r="E5" s="71" t="str">
        <x:v>Nina Patel</x:v>
      </x:c>
      <x:c r="F5" s="71" t="str">
        <x:v>Privileged sessions lock after 15 minutes.</x:v>
      </x:c>
      <x:c r="G5" s="71" t="str">
        <x:v>Constraint</x:v>
      </x:c>
      <x:c r="H5" s="71" t="str">
        <x:v>Yes</x:v>
      </x:c>
      <x:c r="I5" s="71" t="str">
        <x:v>Yes</x:v>
      </x:c>
      <x:c r="J5" s="71" t="str">
        <x:v>Confirmed</x:v>
      </x:c>
      <x:c r="K5" s="71" t="str">
        <x:v>No</x:v>
      </x:c>
      <x:c r="L5" s="71" t="str">
        <x:v>Omar Rahman</x:v>
      </x:c>
      <x:c r="M5" s="71" t="str">
        <x:v>Explicit</x:v>
      </x:c>
      <x:c r="N5" s="64" t="str">
        <x:f>IF(AND(H5="Yes",I5="Yes",J5="Confirmed",K5="No",M5="Explicit"),"Yes","No")</x:f>
        <x:v>Yes</x:v>
      </x:c>
    </x:row>
    <x:row r="6" ht="56" customHeight="1">
      <x:c r="A6" s="66" t="str">
        <x:v>EV-002</x:v>
      </x:c>
      <x:c r="B6" s="74" t="str">
        <x:v>Transcript</x:v>
      </x:c>
      <x:c r="C6" s="74" t="str">
        <x:v>Requirements workshop</x:v>
      </x:c>
      <x:c r="D6" s="74" t="str">
        <x:v>26 Aug 2026 09:14</x:v>
      </x:c>
      <x:c r="E6" s="74" t="str">
        <x:v>Anna Larsen</x:v>
      </x:c>
      <x:c r="F6" s="74" t="str">
        <x:v>Thirty minutes for everyone should be acceptable.</x:v>
      </x:c>
      <x:c r="G6" s="74" t="str">
        <x:v>Proposal</x:v>
      </x:c>
      <x:c r="H6" s="74" t="str">
        <x:v>Yes</x:v>
      </x:c>
      <x:c r="I6" s="74" t="str">
        <x:v>No</x:v>
      </x:c>
      <x:c r="J6" s="74" t="str">
        <x:v>Proposed</x:v>
      </x:c>
      <x:c r="K6" s="74" t="str">
        <x:v>Yes</x:v>
      </x:c>
      <x:c r="L6" s="74" t="str">
        <x:v>Maya Chen</x:v>
      </x:c>
      <x:c r="M6" s="74" t="str">
        <x:v>No</x:v>
      </x:c>
      <x:c r="N6" s="67" t="str">
        <x:f>IF(AND(H6="Yes",I6="Yes",J6="Confirmed",K6="No",M6="Explicit"),"Yes","No")</x:f>
        <x:v>No</x:v>
      </x:c>
    </x:row>
    <x:row r="7" ht="56" customHeight="1">
      <x:c r="A7" s="66" t="str">
        <x:v>EV-003</x:v>
      </x:c>
      <x:c r="B7" s="74" t="str">
        <x:v>Post-meeting chat</x:v>
      </x:c>
      <x:c r="C7" s="74" t="str">
        <x:v>Project Nova meeting chat</x:v>
      </x:c>
      <x:c r="D7" s="74" t="str">
        <x:v>27 Aug 2026 08:40</x:v>
      </x:c>
      <x:c r="E7" s="74" t="str">
        <x:v>Maya Chen</x:v>
      </x:c>
      <x:c r="F7" s="74" t="str">
        <x:v>Sponsor confirms 15 minutes privileged and 30 minutes standard.</x:v>
      </x:c>
      <x:c r="G7" s="74" t="str">
        <x:v>Decision</x:v>
      </x:c>
      <x:c r="H7" s="74" t="str">
        <x:v>Yes</x:v>
      </x:c>
      <x:c r="I7" s="74" t="str">
        <x:v>Yes</x:v>
      </x:c>
      <x:c r="J7" s="74" t="str">
        <x:v>Confirmed</x:v>
      </x:c>
      <x:c r="K7" s="74" t="str">
        <x:v>No</x:v>
      </x:c>
      <x:c r="L7" s="74" t="str">
        <x:v>Maya Chen</x:v>
      </x:c>
      <x:c r="M7" s="74" t="str">
        <x:v>Explicit</x:v>
      </x:c>
      <x:c r="N7" s="67" t="str">
        <x:f>IF(AND(H7="Yes",I7="Yes",J7="Confirmed",K7="No",M7="Explicit"),"Yes","No")</x:f>
        <x:v>Yes</x:v>
      </x:c>
    </x:row>
    <x:row r="8" ht="56" customHeight="1">
      <x:c r="A8" s="66" t="str">
        <x:v>EV-004</x:v>
      </x:c>
      <x:c r="B8" s="74" t="str">
        <x:v>Copilot recap</x:v>
      </x:c>
      <x:c r="C8" s="74" t="str">
        <x:v>Synthetic meeting recap</x:v>
      </x:c>
      <x:c r="D8" s="74" t="str">
        <x:v>26 Aug 2026</x:v>
      </x:c>
      <x:c r="E8" s="74" t="str">
        <x:v>Copilot</x:v>
      </x:c>
      <x:c r="F8" s="74" t="str">
        <x:v>Team agreed 30 minutes for all users.</x:v>
      </x:c>
      <x:c r="G8" s="74" t="str">
        <x:v>AI summary</x:v>
      </x:c>
      <x:c r="H8" s="74" t="str">
        <x:v>Yes</x:v>
      </x:c>
      <x:c r="I8" s="74" t="str">
        <x:v>No</x:v>
      </x:c>
      <x:c r="J8" s="74" t="str">
        <x:v>Conflict</x:v>
      </x:c>
      <x:c r="K8" s="74" t="str">
        <x:v>Yes</x:v>
      </x:c>
      <x:c r="L8" s="74" t="str">
        <x:v>Maya Chen</x:v>
      </x:c>
      <x:c r="M8" s="74" t="str">
        <x:v>No</x:v>
      </x:c>
      <x:c r="N8" s="67" t="str">
        <x:f>IF(AND(H8="Yes",I8="Yes",J8="Confirmed",K8="No",M8="Explicit"),"Yes","No")</x:f>
        <x:v>No</x:v>
      </x:c>
    </x:row>
    <x:row r="9" ht="56" customHeight="1">
      <x:c r="A9" s="66" t="str">
        <x:v>EV-005</x:v>
      </x:c>
      <x:c r="B9" s="74" t="str">
        <x:v>Approved decision</x:v>
      </x:c>
      <x:c r="C9" s="74" t="str">
        <x:v>DEC-003</x:v>
      </x:c>
      <x:c r="D9" s="74" t="str">
        <x:v>27 Aug 2026</x:v>
      </x:c>
      <x:c r="E9" s="74" t="str">
        <x:v>Maya Chen</x:v>
      </x:c>
      <x:c r="F9" s="74" t="str">
        <x:v>AI approval recommendations remain outside MVP.</x:v>
      </x:c>
      <x:c r="G9" s="74" t="str">
        <x:v>Scope decision</x:v>
      </x:c>
      <x:c r="H9" s="74" t="str">
        <x:v>Yes</x:v>
      </x:c>
      <x:c r="I9" s="74" t="str">
        <x:v>Yes</x:v>
      </x:c>
      <x:c r="J9" s="74" t="str">
        <x:v>Confirmed</x:v>
      </x:c>
      <x:c r="K9" s="74" t="str">
        <x:v>No</x:v>
      </x:c>
      <x:c r="L9" s="74" t="str">
        <x:v>Maya Chen</x:v>
      </x:c>
      <x:c r="M9" s="74" t="str">
        <x:v>Explicit</x:v>
      </x:c>
      <x:c r="N9" s="67" t="str">
        <x:f>IF(AND(H9="Yes",I9="Yes",J9="Confirmed",K9="No",M9="Explicit"),"Yes","No")</x:f>
        <x:v>Yes</x:v>
      </x:c>
    </x:row>
    <x:row r="10" ht="56" customHeight="1">
      <x:c r="A10" s="66" t="str">
        <x:v>EV-006</x:v>
      </x:c>
      <x:c r="B10" s="74" t="str">
        <x:v>Approved policy</x:v>
      </x:c>
      <x:c r="C10" s="74" t="str">
        <x:v>SEC-AC-004 v4.2</x:v>
      </x:c>
      <x:c r="D10" s="74" t="str">
        <x:v>01 Jul 2026</x:v>
      </x:c>
      <x:c r="E10" s="74" t="str">
        <x:v>Nina Patel</x:v>
      </x:c>
      <x:c r="F10" s="74" t="str">
        <x:v>Access-decision evidence is retained seven years.</x:v>
      </x:c>
      <x:c r="G10" s="74" t="str">
        <x:v>Constraint</x:v>
      </x:c>
      <x:c r="H10" s="74" t="str">
        <x:v>Yes</x:v>
      </x:c>
      <x:c r="I10" s="74" t="str">
        <x:v>Yes</x:v>
      </x:c>
      <x:c r="J10" s="74" t="str">
        <x:v>Confirmed</x:v>
      </x:c>
      <x:c r="K10" s="74" t="str">
        <x:v>No</x:v>
      </x:c>
      <x:c r="L10" s="74" t="str">
        <x:v>Nina Patel</x:v>
      </x:c>
      <x:c r="M10" s="74" t="str">
        <x:v>Explicit</x:v>
      </x:c>
      <x:c r="N10" s="67" t="str">
        <x:f>IF(AND(H10="Yes",I10="Yes",J10="Confirmed",K10="No",M10="Explicit"),"Yes","No")</x:f>
        <x:v>Yes</x:v>
      </x:c>
    </x:row>
    <x:row r="11" ht="56" customHeight="1">
      <x:c r="A11" s="66" t="str">
        <x:v>EV-007</x:v>
      </x:c>
      <x:c r="B11" s="74" t="str">
        <x:v>Current process</x:v>
      </x:c>
      <x:c r="C11" s="74" t="str">
        <x:v>Current Process v1.2</x:v>
      </x:c>
      <x:c r="D11" s="74" t="str">
        <x:v>18 Aug 2026</x:v>
      </x:c>
      <x:c r="E11" s="74" t="str">
        <x:v>Service Desk</x:v>
      </x:c>
      <x:c r="F11" s="74" t="str">
        <x:v>Legacy instruction says three years; approval unclear.</x:v>
      </x:c>
      <x:c r="G11" s="74" t="str">
        <x:v>Current practice</x:v>
      </x:c>
      <x:c r="H11" s="74" t="str">
        <x:v>Yes</x:v>
      </x:c>
      <x:c r="I11" s="74" t="str">
        <x:v>No</x:v>
      </x:c>
      <x:c r="J11" s="74" t="str">
        <x:v>Superseded</x:v>
      </x:c>
      <x:c r="K11" s="74" t="str">
        <x:v>Yes</x:v>
      </x:c>
      <x:c r="L11" s="74" t="str">
        <x:v>Nina Patel</x:v>
      </x:c>
      <x:c r="M11" s="74" t="str">
        <x:v>No</x:v>
      </x:c>
      <x:c r="N11" s="67" t="str">
        <x:f>IF(AND(H11="Yes",I11="Yes",J11="Confirmed",K11="No",M11="Explicit"),"Yes","No")</x:f>
        <x:v>No</x:v>
      </x:c>
    </x:row>
    <x:row r="12" ht="56" customHeight="1">
      <x:c r="A12" s="66" t="str">
        <x:v>EV-008</x:v>
      </x:c>
      <x:c r="B12" s="74" t="str">
        <x:v>Post-meeting chat</x:v>
      </x:c>
      <x:c r="C12" s="74" t="str">
        <x:v>Project Nova meeting chat</x:v>
      </x:c>
      <x:c r="D12" s="74" t="str">
        <x:v>27 Aug 2026 09:05</x:v>
      </x:c>
      <x:c r="E12" s="74" t="str">
        <x:v>Nina Patel</x:v>
      </x:c>
      <x:c r="F12" s="74" t="str">
        <x:v>Change only NFR-003 RetentionYears from 3 to 7.</x:v>
      </x:c>
      <x:c r="G12" s="74" t="str">
        <x:v>Field change</x:v>
      </x:c>
      <x:c r="H12" s="74" t="str">
        <x:v>Yes</x:v>
      </x:c>
      <x:c r="I12" s="74" t="str">
        <x:v>Yes</x:v>
      </x:c>
      <x:c r="J12" s="74" t="str">
        <x:v>Confirmed</x:v>
      </x:c>
      <x:c r="K12" s="74" t="str">
        <x:v>No</x:v>
      </x:c>
      <x:c r="L12" s="74" t="str">
        <x:v>Nina Patel</x:v>
      </x:c>
      <x:c r="M12" s="74" t="str">
        <x:v>Explicit</x:v>
      </x:c>
      <x:c r="N12" s="67" t="str">
        <x:f>IF(AND(H12="Yes",I12="Yes",J12="Confirmed",K12="No",M12="Explicit"),"Yes","No")</x:f>
        <x:v>Yes</x:v>
      </x:c>
    </x:row>
    <x:row r="13" ht="56" customHeight="1">
      <x:c r="A13" s="66" t="str">
        <x:v>EV-009</x:v>
      </x:c>
      <x:c r="B13" s="74" t="str">
        <x:v>Stakeholder interview</x:v>
      </x:c>
      <x:c r="C13" s="74" t="str">
        <x:v>Anna interview</x:v>
      </x:c>
      <x:c r="D13" s="74" t="str">
        <x:v>19 Aug 2026</x:v>
      </x:c>
      <x:c r="E13" s="74" t="str">
        <x:v>Anna Larsen</x:v>
      </x:c>
      <x:c r="F13" s="74" t="str">
        <x:v>Complete standard request should be decided in one business day.</x:v>
      </x:c>
      <x:c r="G13" s="74" t="str">
        <x:v>Proposal</x:v>
      </x:c>
      <x:c r="H13" s="74" t="str">
        <x:v>Yes</x:v>
      </x:c>
      <x:c r="I13" s="74" t="str">
        <x:v>No</x:v>
      </x:c>
      <x:c r="J13" s="74" t="str">
        <x:v>Proposed</x:v>
      </x:c>
      <x:c r="K13" s="74" t="str">
        <x:v>Yes</x:v>
      </x:c>
      <x:c r="L13" s="74" t="str">
        <x:v>Maya Chen</x:v>
      </x:c>
      <x:c r="M13" s="74" t="str">
        <x:v>No</x:v>
      </x:c>
      <x:c r="N13" s="67" t="str">
        <x:f>IF(AND(H13="Yes",I13="Yes",J13="Confirmed",K13="No",M13="Explicit"),"Yes","No")</x:f>
        <x:v>No</x:v>
      </x:c>
    </x:row>
    <x:row r="14" ht="56" customHeight="1">
      <x:c r="A14" s="66" t="str">
        <x:v>EV-010</x:v>
      </x:c>
      <x:c r="B14" s="74" t="str">
        <x:v>Approved decision</x:v>
      </x:c>
      <x:c r="C14" s="74" t="str">
        <x:v>DEC-006</x:v>
      </x:c>
      <x:c r="D14" s="74" t="str">
        <x:v>27 Aug 2026</x:v>
      </x:c>
      <x:c r="E14" s="74" t="str">
        <x:v>Maya Chen</x:v>
      </x:c>
      <x:c r="F14" s="74" t="str">
        <x:v>Standard-request SLA is pending.</x:v>
      </x:c>
      <x:c r="G14" s="74" t="str">
        <x:v>Open decision</x:v>
      </x:c>
      <x:c r="H14" s="74" t="str">
        <x:v>Yes</x:v>
      </x:c>
      <x:c r="I14" s="74" t="str">
        <x:v>Yes</x:v>
      </x:c>
      <x:c r="J14" s="74" t="str">
        <x:v>Not confirmed</x:v>
      </x:c>
      <x:c r="K14" s="74" t="str">
        <x:v>Yes</x:v>
      </x:c>
      <x:c r="L14" s="74" t="str">
        <x:v>Maya Chen</x:v>
      </x:c>
      <x:c r="M14" s="74" t="str">
        <x:v>No</x:v>
      </x:c>
      <x:c r="N14" s="67" t="str">
        <x:f>IF(AND(H14="Yes",I14="Yes",J14="Confirmed",K14="No",M14="Explicit"),"Yes","No")</x:f>
        <x:v>No</x:v>
      </x:c>
    </x:row>
    <x:row r="15" ht="56" customHeight="1">
      <x:c r="A15" s="66" t="str">
        <x:v>EV-011</x:v>
      </x:c>
      <x:c r="B15" s="74" t="str">
        <x:v>Application catalogue</x:v>
      </x:c>
      <x:c r="C15" s="74" t="str">
        <x:v>Application Catalogue</x:v>
      </x:c>
      <x:c r="D15" s="74" t="str">
        <x:v>26 Aug 2026</x:v>
      </x:c>
      <x:c r="E15" s="74" t="str">
        <x:v>Leo Martins</x:v>
      </x:c>
      <x:c r="F15" s="74" t="str">
        <x:v>FinanceHub has no approved real-time API.</x:v>
      </x:c>
      <x:c r="G15" s="74" t="str">
        <x:v>Feasibility</x:v>
      </x:c>
      <x:c r="H15" s="74" t="str">
        <x:v>Yes</x:v>
      </x:c>
      <x:c r="I15" s="74" t="str">
        <x:v>Yes</x:v>
      </x:c>
      <x:c r="J15" s="74" t="str">
        <x:v>Confirmed</x:v>
      </x:c>
      <x:c r="K15" s="74" t="str">
        <x:v>No</x:v>
      </x:c>
      <x:c r="L15" s="74" t="str">
        <x:v>Finance Owner</x:v>
      </x:c>
      <x:c r="M15" s="74" t="str">
        <x:v>No</x:v>
      </x:c>
      <x:c r="N15" s="67" t="str">
        <x:f>IF(AND(H15="Yes",I15="Yes",J15="Confirmed",K15="No",M15="Explicit"),"Yes","No")</x:f>
        <x:v>No</x:v>
      </x:c>
    </x:row>
    <x:row r="16" ht="56" customHeight="1">
      <x:c r="A16" s="66" t="str">
        <x:v>EV-012</x:v>
      </x:c>
      <x:c r="B16" s="74" t="str">
        <x:v>Transcript correction</x:v>
      </x:c>
      <x:c r="C16" s="74" t="str">
        <x:v>Requirements workshop</x:v>
      </x:c>
      <x:c r="D16" s="74" t="str">
        <x:v>26 Aug 2026 09:28</x:v>
      </x:c>
      <x:c r="E16" s="74" t="str">
        <x:v>Leo Martins</x:v>
      </x:c>
      <x:c r="F16" s="74" t="str">
        <x:v>Correction: only some systems can connect; FinanceHub is unconfirmed.</x:v>
      </x:c>
      <x:c r="G16" s="74" t="str">
        <x:v>Correction</x:v>
      </x:c>
      <x:c r="H16" s="74" t="str">
        <x:v>Yes</x:v>
      </x:c>
      <x:c r="I16" s="74" t="str">
        <x:v>Yes</x:v>
      </x:c>
      <x:c r="J16" s="74" t="str">
        <x:v>Confirmed</x:v>
      </x:c>
      <x:c r="K16" s="74" t="str">
        <x:v>No</x:v>
      </x:c>
      <x:c r="L16" s="74" t="str">
        <x:v>Finance Owner</x:v>
      </x:c>
      <x:c r="M16" s="74" t="str">
        <x:v>No</x:v>
      </x:c>
      <x:c r="N16" s="67" t="str">
        <x:f>IF(AND(H16="Yes",I16="Yes",J16="Confirmed",K16="No",M16="Explicit"),"Yes","No")</x:f>
        <x:v>No</x:v>
      </x:c>
    </x:row>
    <x:row r="17" ht="56" customHeight="1">
      <x:c r="A17" s="66" t="str">
        <x:v>EV-013</x:v>
      </x:c>
      <x:c r="B17" s="74" t="str">
        <x:v>Stakeholder interview</x:v>
      </x:c>
      <x:c r="C17" s="74" t="str">
        <x:v>Eva interview</x:v>
      </x:c>
      <x:c r="D17" s="74" t="str">
        <x:v>22 Aug 2026</x:v>
      </x:c>
      <x:c r="E17" s="74" t="str">
        <x:v>Eva Sorensen</x:v>
      </x:c>
      <x:c r="F17" s="74" t="str">
        <x:v>Portal could predict access from job title.</x:v>
      </x:c>
      <x:c r="G17" s="74" t="str">
        <x:v>Solution idea</x:v>
      </x:c>
      <x:c r="H17" s="74" t="str">
        <x:v>Yes</x:v>
      </x:c>
      <x:c r="I17" s="74" t="str">
        <x:v>No</x:v>
      </x:c>
      <x:c r="J17" s="74" t="str">
        <x:v>Out of scope</x:v>
      </x:c>
      <x:c r="K17" s="74" t="str">
        <x:v>No</x:v>
      </x:c>
      <x:c r="L17" s="74" t="str">
        <x:v>Maya Chen</x:v>
      </x:c>
      <x:c r="M17" s="74" t="str">
        <x:v>No</x:v>
      </x:c>
      <x:c r="N17" s="67" t="str">
        <x:f>IF(AND(H17="Yes",I17="Yes",J17="Confirmed",K17="No",M17="Explicit"),"Yes","No")</x:f>
        <x:v>No</x:v>
      </x:c>
    </x:row>
    <x:row r="18" ht="56" customHeight="1">
      <x:c r="A18" s="68" t="str">
        <x:v>EV-014</x:v>
      </x:c>
      <x:c r="B18" s="77" t="str">
        <x:v>Approved decision</x:v>
      </x:c>
      <x:c r="C18" s="77" t="str">
        <x:v>DEC-007</x:v>
      </x:c>
      <x:c r="D18" s="77" t="str">
        <x:v>27 Aug 2026</x:v>
      </x:c>
      <x:c r="E18" s="77" t="str">
        <x:v>Nina Patel</x:v>
      </x:c>
      <x:c r="F18" s="77" t="str">
        <x:v>Rejected-request retention is pending Legal confirmation.</x:v>
      </x:c>
      <x:c r="G18" s="77" t="str">
        <x:v>Open decision</x:v>
      </x:c>
      <x:c r="H18" s="77" t="str">
        <x:v>Yes</x:v>
      </x:c>
      <x:c r="I18" s="77" t="str">
        <x:v>Yes</x:v>
      </x:c>
      <x:c r="J18" s="77" t="str">
        <x:v>Not confirmed</x:v>
      </x:c>
      <x:c r="K18" s="77" t="str">
        <x:v>Yes</x:v>
      </x:c>
      <x:c r="L18" s="77" t="str">
        <x:v>Nina Patel</x:v>
      </x:c>
      <x:c r="M18" s="77" t="str">
        <x:v>No</x:v>
      </x:c>
      <x:c r="N18" s="69" t="str">
        <x:f>IF(AND(H18="Yes",I18="Yes",J18="Confirmed",K18="No",M18="Explicit"),"Yes","No")</x:f>
        <x:v>No</x:v>
      </x:c>
    </x:row>
  </x:sheetData>
  <x:mergeCells>
    <x:mergeCell ref="A1:N1"/>
    <x:mergeCell ref="A2:N2"/>
  </x:mergeCells>
  <x:conditionalFormatting sqref="J5:N18">
    <x:cfRule type="containsText" dxfId="5" priority="1" operator="containsText" text="Confirmed"/>
    <x:cfRule type="containsText" dxfId="6" priority="2" operator="containsText" text="Approved"/>
    <x:cfRule type="containsText" dxfId="7" priority="3" operator="containsText" text="Conflict"/>
    <x:cfRule type="containsText" dxfId="8" priority="4" operator="containsText" text="Not confirmed"/>
    <x:cfRule type="containsText" dxfId="9" priority="5" operator="containsText" text="Out of scope"/>
  </x:conditionalFormatting>
  <x:dataValidations count="3">
    <x:dataValidation type="list" sqref="H5:I18">
      <x:formula1>"Yes,No,Unclear"</x:formula1>
    </x:dataValidation>
    <x:dataValidation type="list" sqref="K5:K18">
      <x:formula1>"Yes,No"</x:formula1>
    </x:dataValidation>
    <x:dataValidation type="list" sqref="M5:M18">
      <x:formula1>"Explicit,No,Pending"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20e2e813cd4e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5" hidden="0" customWidth="1"/>
    <x:col min="4" max="4" width="45" hidden="0" customWidth="1"/>
    <x:col min="5" max="5" width="22" hidden="0" customWidth="1"/>
    <x:col min="6" max="6" width="20" hidden="0" customWidth="1"/>
    <x:col min="7" max="7" width="40" hidden="0" customWidth="1"/>
    <x:col min="8" max="8" width="36" hidden="0" customWidth="1"/>
  </x:cols>
  <x:sheetData>
    <x:row r="1" ht="32" customHeight="1">
      <x:c r="A1" s="57" t="str">
        <x:v>Conflict and Open-Question Log</x:v>
      </x:c>
      <x:c r="B1" s="57"/>
      <x:c r="C1" s="57"/>
      <x:c r="D1" s="57"/>
      <x:c r="E1" s="57"/>
      <x:c r="F1" s="57"/>
      <x:c r="G1" s="57"/>
      <x:c r="H1" s="57"/>
    </x:row>
    <x:row r="2" ht="36" customHeight="1">
      <x:c r="A2" s="58" t="str">
        <x:v>Conflicts remain visible until the named resolver confirms an outcome.</x:v>
      </x:c>
      <x:c r="B2" s="58"/>
      <x:c r="C2" s="58"/>
      <x:c r="D2" s="58"/>
      <x:c r="E2" s="58"/>
      <x:c r="F2" s="58"/>
      <x:c r="G2" s="58"/>
      <x:c r="H2" s="58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8" customHeight="1">
      <x:c r="A4" s="60" t="str">
        <x:v>Conflict ID</x:v>
      </x:c>
      <x:c r="B4" s="70" t="str">
        <x:v>Topic</x:v>
      </x:c>
      <x:c r="C4" s="70" t="str">
        <x:v>Evidence A</x:v>
      </x:c>
      <x:c r="D4" s="70" t="str">
        <x:v>Evidence B</x:v>
      </x:c>
      <x:c r="E4" s="70" t="str">
        <x:v>Resolver</x:v>
      </x:c>
      <x:c r="F4" s="70" t="str">
        <x:v>Resolution Status</x:v>
      </x:c>
      <x:c r="G4" s="70" t="str">
        <x:v>Approved Resolution</x:v>
      </x:c>
      <x:c r="H4" s="61" t="str">
        <x:v>Register Treatment</x:v>
      </x:c>
    </x:row>
    <x:row r="5" ht="56" customHeight="1">
      <x:c r="A5" s="63" t="str">
        <x:v>CON-001</x:v>
      </x:c>
      <x:c r="B5" s="71" t="str">
        <x:v>Session timeout</x:v>
      </x:c>
      <x:c r="C5" s="71" t="str">
        <x:v>EV-002: 30 minutes for all</x:v>
      </x:c>
      <x:c r="D5" s="71" t="str">
        <x:v>EV-001: 15 minutes privileged</x:v>
      </x:c>
      <x:c r="E5" s="71" t="str">
        <x:v>Maya Chen</x:v>
      </x:c>
      <x:c r="F5" s="71" t="str">
        <x:v>Resolved</x:v>
      </x:c>
      <x:c r="G5" s="71" t="str">
        <x:v>15 privileged; 30 standard</x:v>
      </x:c>
      <x:c r="H5" s="64" t="str">
        <x:v>Add separate NFRs</x:v>
      </x:c>
    </x:row>
    <x:row r="6" ht="56" customHeight="1">
      <x:c r="A6" s="66" t="str">
        <x:v>CON-002</x:v>
      </x:c>
      <x:c r="B6" s="74" t="str">
        <x:v>Evidence retention</x:v>
      </x:c>
      <x:c r="C6" s="74" t="str">
        <x:v>EV-007: 3 years</x:v>
      </x:c>
      <x:c r="D6" s="74" t="str">
        <x:v>EV-006: 7 years</x:v>
      </x:c>
      <x:c r="E6" s="74" t="str">
        <x:v>Nina Patel</x:v>
      </x:c>
      <x:c r="F6" s="74" t="str">
        <x:v>Resolved</x:v>
      </x:c>
      <x:c r="G6" s="74" t="str">
        <x:v>7 years for access-decision evidence</x:v>
      </x:c>
      <x:c r="H6" s="67" t="str">
        <x:v>Update NFR-003 field only</x:v>
      </x:c>
    </x:row>
    <x:row r="7" ht="56" customHeight="1">
      <x:c r="A7" s="66" t="str">
        <x:v>CON-003</x:v>
      </x:c>
      <x:c r="B7" s="74" t="str">
        <x:v>Standard SLA</x:v>
      </x:c>
      <x:c r="C7" s="74" t="str">
        <x:v>EV-009: 1 business day</x:v>
      </x:c>
      <x:c r="D7" s="74" t="str">
        <x:v>EV-010: decision pending</x:v>
      </x:c>
      <x:c r="E7" s="74" t="str">
        <x:v>Maya Chen</x:v>
      </x:c>
      <x:c r="F7" s="74" t="str">
        <x:v>Open</x:v>
      </x:c>
      <x:c r="G7" s="74" t="str">
        <x:v>Not confirmed</x:v>
      </x:c>
      <x:c r="H7" s="67" t="str">
        <x:v>Do not add</x:v>
      </x:c>
    </x:row>
    <x:row r="8" ht="56" customHeight="1">
      <x:c r="A8" s="66" t="str">
        <x:v>CON-004</x:v>
      </x:c>
      <x:c r="B8" s="74" t="str">
        <x:v>Rejected-request retention</x:v>
      </x:c>
      <x:c r="C8" s="74" t="str">
        <x:v>Policy scope unclear</x:v>
      </x:c>
      <x:c r="D8" s="74" t="str">
        <x:v>DEC-007 pending Legal</x:v>
      </x:c>
      <x:c r="E8" s="74" t="str">
        <x:v>Nina Patel</x:v>
      </x:c>
      <x:c r="F8" s="74" t="str">
        <x:v>Open</x:v>
      </x:c>
      <x:c r="G8" s="74" t="str">
        <x:v>Not confirmed</x:v>
      </x:c>
      <x:c r="H8" s="67" t="str">
        <x:v>Do not add</x:v>
      </x:c>
    </x:row>
    <x:row r="9" ht="56" customHeight="1">
      <x:c r="A9" s="68" t="str">
        <x:v>CON-005</x:v>
      </x:c>
      <x:c r="B9" s="77" t="str">
        <x:v>Real-time integration</x:v>
      </x:c>
      <x:c r="C9" s="77" t="str">
        <x:v>Transcript first says all five</x:v>
      </x:c>
      <x:c r="D9" s="77" t="str">
        <x:v>Correction and catalogue show gaps</x:v>
      </x:c>
      <x:c r="E9" s="77" t="str">
        <x:v>Application owners</x:v>
      </x:c>
      <x:c r="F9" s="77" t="str">
        <x:v>Open by application</x:v>
      </x:c>
      <x:c r="G9" s="77" t="str">
        <x:v>No general commitment</x:v>
      </x:c>
      <x:c r="H9" s="69" t="str">
        <x:v>Use per-application requirements</x:v>
      </x:c>
    </x:row>
  </x:sheetData>
  <x:mergeCells>
    <x:mergeCell ref="A1:H1"/>
    <x:mergeCell ref="A2:H2"/>
  </x:mergeCells>
  <x:conditionalFormatting sqref="F5:G9">
    <x:cfRule type="containsText" dxfId="10" priority="1" operator="containsText" text="Confirmed"/>
    <x:cfRule type="containsText" dxfId="11" priority="2" operator="containsText" text="Approved"/>
    <x:cfRule type="containsText" dxfId="12" priority="3" operator="containsText" text="Conflict"/>
    <x:cfRule type="containsText" dxfId="13" priority="4" operator="containsText" text="Not confirmed"/>
    <x:cfRule type="containsText" dxfId="14" priority="5" operator="containsText" text="Out of scope"/>
  </x:conditionalFormatting>
  <x:dataValidations count="1">
    <x:dataValidation type="list" sqref="F5:F9">
      <x:formula1>"Open,Resolved,Blocked,Superseded"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aa18ac02f649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6" hidden="0" customWidth="1"/>
    <x:col min="4" max="4" width="20" hidden="0" customWidth="1"/>
    <x:col min="5" max="5" width="16" hidden="0" customWidth="1"/>
    <x:col min="6" max="6" width="18" hidden="0" customWidth="1"/>
    <x:col min="7" max="7" width="20" hidden="0" customWidth="1"/>
    <x:col min="8" max="8" width="24" hidden="0" customWidth="1"/>
    <x:col min="9" max="9" width="72" hidden="0" customWidth="1"/>
    <x:col min="10" max="10" width="28" hidden="0" customWidth="1"/>
    <x:col min="11" max="11" width="20" hidden="0" customWidth="1"/>
    <x:col min="12" max="12" width="14" hidden="0" customWidth="1"/>
    <x:col min="13" max="13" width="34" hidden="0" customWidth="1"/>
  </x:cols>
  <x:sheetData>
    <x:row r="1" ht="32" customHeight="1">
      <x:c r="A1" s="57" t="str">
        <x:v>Human-Approved Update Instructions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</x:row>
    <x:row r="2" ht="36" customHeight="1">
      <x:c r="A2" s="58" t="str">
        <x:v>Only rows marked Approved = Yes may be applied by Copilot in Excel. Do not manually copy agent output.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</x:row>
    <x:row r="4" ht="38" customHeight="1">
      <x:c r="A4" s="60" t="str">
        <x:v>Update ID</x:v>
      </x:c>
      <x:c r="B4" s="70" t="str">
        <x:v>Action</x:v>
      </x:c>
      <x:c r="C4" s="70" t="str">
        <x:v>Requirement ID</x:v>
      </x:c>
      <x:c r="D4" s="70" t="str">
        <x:v>Field</x:v>
      </x:c>
      <x:c r="E4" s="70" t="str">
        <x:v>Current Value</x:v>
      </x:c>
      <x:c r="F4" s="70" t="str">
        <x:v>Approved Value</x:v>
      </x:c>
      <x:c r="G4" s="70" t="str">
        <x:v>New Type</x:v>
      </x:c>
      <x:c r="H4" s="70" t="str">
        <x:v>New Title</x:v>
      </x:c>
      <x:c r="I4" s="70" t="str">
        <x:v>New Statement</x:v>
      </x:c>
      <x:c r="J4" s="70" t="str">
        <x:v>Evidence</x:v>
      </x:c>
      <x:c r="K4" s="70" t="str">
        <x:v>Decision Owner</x:v>
      </x:c>
      <x:c r="L4" s="70" t="str">
        <x:v>Approved?</x:v>
      </x:c>
      <x:c r="M4" s="61" t="str">
        <x:v>Preserve</x:v>
      </x:c>
    </x:row>
    <x:row r="5" ht="58" customHeight="1">
      <x:c r="A5" s="63" t="str">
        <x:v>UPD-001</x:v>
      </x:c>
      <x:c r="B5" s="71" t="str">
        <x:v>Update field</x:v>
      </x:c>
      <x:c r="C5" s="71" t="str">
        <x:v>NFR-003</x:v>
      </x:c>
      <x:c r="D5" s="71" t="str">
        <x:v>RetentionYears</x:v>
      </x:c>
      <x:c r="E5" s="71" t="n">
        <x:v>3</x:v>
      </x:c>
      <x:c r="F5" s="71" t="n">
        <x:v>7</x:v>
      </x:c>
      <x:c r="G5" s="71" t="str"/>
      <x:c r="H5" s="71" t="str"/>
      <x:c r="I5" s="71" t="str"/>
      <x:c r="J5" s="71" t="str">
        <x:v>EV-006; EV-008</x:v>
      </x:c>
      <x:c r="K5" s="71" t="str">
        <x:v>Nina Patel</x:v>
      </x:c>
      <x:c r="L5" s="71" t="str">
        <x:v>Yes</x:v>
      </x:c>
      <x:c r="M5" s="64" t="str">
        <x:v>All other NFR-003 fields</x:v>
      </x:c>
    </x:row>
    <x:row r="6" ht="58" customHeight="1">
      <x:c r="A6" s="66" t="str">
        <x:v>NEW-001</x:v>
      </x:c>
      <x:c r="B6" s="74" t="str">
        <x:v>Add row</x:v>
      </x:c>
      <x:c r="C6" s="74" t="str">
        <x:v>NFR-004</x:v>
      </x:c>
      <x:c r="D6" s="74" t="str">
        <x:v>New row</x:v>
      </x:c>
      <x:c r="E6" s="74" t="str"/>
      <x:c r="F6" s="74" t="str"/>
      <x:c r="G6" s="74" t="str">
        <x:v>Non-functional</x:v>
      </x:c>
      <x:c r="H6" s="74" t="str">
        <x:v>Privileged timeout</x:v>
      </x:c>
      <x:c r="I6" s="74" t="str">
        <x:v>Privileged interactive sessions shall lock after 15 minutes of inactivity.</x:v>
      </x:c>
      <x:c r="J6" s="74" t="str">
        <x:v>EV-001; EV-003</x:v>
      </x:c>
      <x:c r="K6" s="74" t="str">
        <x:v>Maya Chen</x:v>
      </x:c>
      <x:c r="L6" s="74" t="str">
        <x:v>Yes</x:v>
      </x:c>
      <x:c r="M6" s="67" t="str">
        <x:v>All existing rows</x:v>
      </x:c>
    </x:row>
    <x:row r="7" ht="58" customHeight="1">
      <x:c r="A7" s="66" t="str">
        <x:v>NEW-002</x:v>
      </x:c>
      <x:c r="B7" s="74" t="str">
        <x:v>Add row</x:v>
      </x:c>
      <x:c r="C7" s="74" t="str">
        <x:v>NFR-005</x:v>
      </x:c>
      <x:c r="D7" s="74" t="str">
        <x:v>New row</x:v>
      </x:c>
      <x:c r="E7" s="74" t="str"/>
      <x:c r="F7" s="74" t="str"/>
      <x:c r="G7" s="74" t="str">
        <x:v>Non-functional</x:v>
      </x:c>
      <x:c r="H7" s="74" t="str">
        <x:v>Standard timeout</x:v>
      </x:c>
      <x:c r="I7" s="74" t="str">
        <x:v>Standard interactive sessions shall lock after 30 minutes of inactivity.</x:v>
      </x:c>
      <x:c r="J7" s="74" t="str">
        <x:v>EV-003</x:v>
      </x:c>
      <x:c r="K7" s="74" t="str">
        <x:v>Maya Chen</x:v>
      </x:c>
      <x:c r="L7" s="74" t="str">
        <x:v>Yes</x:v>
      </x:c>
      <x:c r="M7" s="67" t="str">
        <x:v>All existing rows</x:v>
      </x:c>
    </x:row>
    <x:row r="8" ht="58" customHeight="1">
      <x:c r="A8" s="66" t="str">
        <x:v>NEW-003</x:v>
      </x:c>
      <x:c r="B8" s="74" t="str">
        <x:v>Add row</x:v>
      </x:c>
      <x:c r="C8" s="74" t="str">
        <x:v>BR-003</x:v>
      </x:c>
      <x:c r="D8" s="74" t="str">
        <x:v>New row</x:v>
      </x:c>
      <x:c r="E8" s="74" t="str"/>
      <x:c r="F8" s="74" t="str"/>
      <x:c r="G8" s="74" t="str">
        <x:v>Business rule</x:v>
      </x:c>
      <x:c r="H8" s="74" t="str">
        <x:v>AI approval boundary</x:v>
      </x:c>
      <x:c r="I8" s="74" t="str">
        <x:v>AI-generated recommendations shall not be used to approve access in the MVP.</x:v>
      </x:c>
      <x:c r="J8" s="74" t="str">
        <x:v>EV-005</x:v>
      </x:c>
      <x:c r="K8" s="74" t="str">
        <x:v>Maya Chen</x:v>
      </x:c>
      <x:c r="L8" s="74" t="str">
        <x:v>Yes</x:v>
      </x:c>
      <x:c r="M8" s="67" t="str">
        <x:v>All existing rows</x:v>
      </x:c>
    </x:row>
    <x:row r="9" ht="58" customHeight="1">
      <x:c r="A9" s="66" t="str">
        <x:v>BLK-001</x:v>
      </x:c>
      <x:c r="B9" s="74" t="str">
        <x:v>Do not add</x:v>
      </x:c>
      <x:c r="C9" s="74" t="str">
        <x:v>NFR-006</x:v>
      </x:c>
      <x:c r="D9" s="74" t="str">
        <x:v>New row</x:v>
      </x:c>
      <x:c r="E9" s="74" t="str"/>
      <x:c r="F9" s="74" t="str"/>
      <x:c r="G9" s="74" t="str">
        <x:v>Non-functional</x:v>
      </x:c>
      <x:c r="H9" s="74" t="str">
        <x:v>Standard SLA</x:v>
      </x:c>
      <x:c r="I9" s="74" t="str">
        <x:v>A complete standard request shall be decided within one business day.</x:v>
      </x:c>
      <x:c r="J9" s="74" t="str">
        <x:v>EV-009; EV-010</x:v>
      </x:c>
      <x:c r="K9" s="74" t="str">
        <x:v>Maya Chen</x:v>
      </x:c>
      <x:c r="L9" s="74" t="str">
        <x:v>No</x:v>
      </x:c>
      <x:c r="M9" s="67" t="str">
        <x:v>Entire register</x:v>
      </x:c>
    </x:row>
    <x:row r="10" ht="58" customHeight="1">
      <x:c r="A10" s="68" t="str">
        <x:v>BLK-002</x:v>
      </x:c>
      <x:c r="B10" s="77" t="str">
        <x:v>Do not add</x:v>
      </x:c>
      <x:c r="C10" s="77" t="str">
        <x:v>NFR-007</x:v>
      </x:c>
      <x:c r="D10" s="77" t="str">
        <x:v>New row</x:v>
      </x:c>
      <x:c r="E10" s="77" t="str"/>
      <x:c r="F10" s="77" t="str"/>
      <x:c r="G10" s="77" t="str">
        <x:v>Non-functional</x:v>
      </x:c>
      <x:c r="H10" s="77" t="str">
        <x:v>Rejected retention</x:v>
      </x:c>
      <x:c r="I10" s="77" t="str">
        <x:v>Rejected access requests shall be retained for seven years.</x:v>
      </x:c>
      <x:c r="J10" s="77" t="str">
        <x:v>EV-014</x:v>
      </x:c>
      <x:c r="K10" s="77" t="str">
        <x:v>Nina Patel</x:v>
      </x:c>
      <x:c r="L10" s="77" t="str">
        <x:v>No</x:v>
      </x:c>
      <x:c r="M10" s="69" t="str">
        <x:v>Entire register</x:v>
      </x:c>
    </x:row>
  </x:sheetData>
  <x:mergeCells>
    <x:mergeCell ref="A1:M1"/>
    <x:mergeCell ref="A2:M2"/>
  </x:mergeCells>
  <x:conditionalFormatting sqref="L5:L10">
    <x:cfRule type="containsText" dxfId="15" priority="1" operator="containsText" text="Confirmed"/>
    <x:cfRule type="containsText" dxfId="16" priority="2" operator="containsText" text="Approved"/>
    <x:cfRule type="containsText" dxfId="17" priority="3" operator="containsText" text="Conflict"/>
    <x:cfRule type="containsText" dxfId="18" priority="4" operator="containsText" text="Not confirmed"/>
    <x:cfRule type="containsText" dxfId="19" priority="5" operator="containsText" text="Out of scope"/>
  </x:conditionalFormatting>
  <x:dataValidations count="1">
    <x:dataValidation type="list" sqref="L5:L10">
      <x:formula1>"Yes,No,Pending"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e5a7ffcaa749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62" hidden="0" customWidth="1"/>
    <x:col min="4" max="4" width="16" hidden="0" customWidth="1"/>
  </x:cols>
  <x:sheetData>
    <x:row r="1" ht="32" customHeight="1">
      <x:c r="A1" s="57" t="str">
        <x:v>NFR-003 Unchanged Controls</x:v>
      </x:c>
      <x:c r="B1" s="57"/>
      <x:c r="C1" s="57"/>
      <x:c r="D1" s="57"/>
    </x:row>
    <x:row r="2" ht="36" customHeight="1">
      <x:c r="A2" s="58" t="str">
        <x:v>After Copilot applies UPD-001, only RetentionYears may differ. Every control below must display PASS.</x:v>
      </x:c>
      <x:c r="B2" s="58"/>
      <x:c r="C2" s="58"/>
      <x:c r="D2" s="58"/>
    </x:row>
    <x:row r="3">
      <x:c r="A3" s="59"/>
      <x:c r="B3" s="59"/>
      <x:c r="C3" s="59"/>
      <x:c r="D3" s="59"/>
    </x:row>
    <x:row r="4" ht="38" customHeight="1">
      <x:c r="A4" s="60" t="str">
        <x:v>Field</x:v>
      </x:c>
      <x:c r="B4" s="70" t="str">
        <x:v>Baseline</x:v>
      </x:c>
      <x:c r="C4" s="70" t="str">
        <x:v>Current value</x:v>
      </x:c>
      <x:c r="D4" s="61" t="str">
        <x:v>Control</x:v>
      </x:c>
    </x:row>
    <x:row r="5" ht="44" customHeight="1">
      <x:c r="A5" s="63" t="str">
        <x:v>Requirement ID</x:v>
      </x:c>
      <x:c r="B5" s="71" t="str">
        <x:v>NFR-003</x:v>
      </x:c>
      <x:c r="C5" s="71" t="str">
        <x:f>'Requirements Register'!A11</x:f>
        <x:v>NFR-003</x:v>
      </x:c>
      <x:c r="D5" s="64" t="str">
        <x:f>IF(B5=C5,"PASS","FAIL")</x:f>
        <x:v>PASS</x:v>
      </x:c>
    </x:row>
    <x:row r="6" ht="44" customHeight="1">
      <x:c r="A6" s="66" t="str">
        <x:v>Type</x:v>
      </x:c>
      <x:c r="B6" s="74" t="str">
        <x:v>Non-functional</x:v>
      </x:c>
      <x:c r="C6" s="74" t="str">
        <x:f>'Requirements Register'!B11</x:f>
        <x:v>Non-functional</x:v>
      </x:c>
      <x:c r="D6" s="67" t="str">
        <x:f>IF(B6=C6,"PASS","FAIL")</x:f>
        <x:v>PASS</x:v>
      </x:c>
    </x:row>
    <x:row r="7" ht="44" customHeight="1">
      <x:c r="A7" s="66" t="str">
        <x:v>Title</x:v>
      </x:c>
      <x:c r="B7" s="74" t="str">
        <x:v>Audit evidence retention</x:v>
      </x:c>
      <x:c r="C7" s="74" t="str">
        <x:f>'Requirements Register'!C11</x:f>
        <x:v>Audit evidence retention</x:v>
      </x:c>
      <x:c r="D7" s="67" t="str">
        <x:f>IF(B7=C7,"PASS","FAIL")</x:f>
        <x:v>PASS</x:v>
      </x:c>
    </x:row>
    <x:row r="8" ht="44" customHeight="1">
      <x:c r="A8" s="66" t="str">
        <x:v>Statement</x:v>
      </x:c>
      <x:c r="B8" s="74" t="str">
        <x:v>The solution shall retain access-decision evidence for the approved retention period.</x:v>
      </x:c>
      <x:c r="C8" s="74" t="str">
        <x:f>'Requirements Register'!D11</x:f>
        <x:v>The solution shall retain access-decision evidence for the approved retention period.</x:v>
      </x:c>
      <x:c r="D8" s="67" t="str">
        <x:f>IF(B8=C8,"PASS","FAIL")</x:f>
        <x:v>PASS</x:v>
      </x:c>
    </x:row>
    <x:row r="9" ht="44" customHeight="1">
      <x:c r="A9" s="66" t="str">
        <x:v>Rationale</x:v>
      </x:c>
      <x:c r="B9" s="74" t="str">
        <x:v>Support auditability</x:v>
      </x:c>
      <x:c r="C9" s="74" t="str">
        <x:f>'Requirements Register'!E11</x:f>
        <x:v>Support auditability</x:v>
      </x:c>
      <x:c r="D9" s="67" t="str">
        <x:f>IF(B9=C9,"PASS","FAIL")</x:f>
        <x:v>PASS</x:v>
      </x:c>
    </x:row>
    <x:row r="10" ht="44" customHeight="1">
      <x:c r="A10" s="66" t="str">
        <x:v>Source</x:v>
      </x:c>
      <x:c r="B10" s="74" t="str">
        <x:v>Legacy work instruction</x:v>
      </x:c>
      <x:c r="C10" s="74" t="str">
        <x:f>'Requirements Register'!F11</x:f>
        <x:v>Legacy work instruction</x:v>
      </x:c>
      <x:c r="D10" s="67" t="str">
        <x:f>IF(B10=C10,"PASS","FAIL")</x:f>
        <x:v>PASS</x:v>
      </x:c>
    </x:row>
    <x:row r="11" ht="44" customHeight="1">
      <x:c r="A11" s="66" t="str">
        <x:v>Evidence Status</x:v>
      </x:c>
      <x:c r="B11" s="74" t="str">
        <x:v>Conflict</x:v>
      </x:c>
      <x:c r="C11" s="74" t="str">
        <x:f>'Requirements Register'!G11</x:f>
        <x:v>Conflict</x:v>
      </x:c>
      <x:c r="D11" s="67" t="str">
        <x:f>IF(B11=C11,"PASS","FAIL")</x:f>
        <x:v>PASS</x:v>
      </x:c>
    </x:row>
    <x:row r="12" ht="44" customHeight="1">
      <x:c r="A12" s="66" t="str">
        <x:v>Approval Status</x:v>
      </x:c>
      <x:c r="B12" s="74" t="str">
        <x:v>Approved field update</x:v>
      </x:c>
      <x:c r="C12" s="74" t="str">
        <x:f>'Requirements Register'!H11</x:f>
        <x:v>Approved field update</x:v>
      </x:c>
      <x:c r="D12" s="67" t="str">
        <x:f>IF(B12=C12,"PASS","FAIL")</x:f>
        <x:v>PASS</x:v>
      </x:c>
    </x:row>
    <x:row r="13" ht="44" customHeight="1">
      <x:c r="A13" s="66" t="str">
        <x:v>Owner</x:v>
      </x:c>
      <x:c r="B13" s="74" t="str">
        <x:v>Nina Patel</x:v>
      </x:c>
      <x:c r="C13" s="74" t="str">
        <x:f>'Requirements Register'!I11</x:f>
        <x:v>Nina Patel</x:v>
      </x:c>
      <x:c r="D13" s="67" t="str">
        <x:f>IF(B13=C13,"PASS","FAIL")</x:f>
        <x:v>PASS</x:v>
      </x:c>
    </x:row>
    <x:row r="14" ht="44" customHeight="1">
      <x:c r="A14" s="66" t="str">
        <x:v>Priority</x:v>
      </x:c>
      <x:c r="B14" s="74" t="str">
        <x:v>Critical</x:v>
      </x:c>
      <x:c r="C14" s="74" t="str">
        <x:f>'Requirements Register'!J11</x:f>
        <x:v>Critical</x:v>
      </x:c>
      <x:c r="D14" s="67" t="str">
        <x:f>IF(B14=C14,"PASS","FAIL")</x:f>
        <x:v>PASS</x:v>
      </x:c>
    </x:row>
    <x:row r="15" ht="44" customHeight="1">
      <x:c r="A15" s="66" t="str">
        <x:v>Acceptance Criteria</x:v>
      </x:c>
      <x:c r="B15" s="74" t="str">
        <x:v>Evidence remains retrievable with requester, subject, application, decision, approvers and timestamps.</x:v>
      </x:c>
      <x:c r="C15" s="74" t="str">
        <x:f>'Requirements Register'!K11</x:f>
        <x:v>Evidence remains retrievable with requester, subject, application, decision, approvers and timestamps.</x:v>
      </x:c>
      <x:c r="D15" s="67" t="str">
        <x:f>IF(B15=C15,"PASS","FAIL")</x:f>
        <x:v>PASS</x:v>
      </x:c>
    </x:row>
    <x:row r="16" ht="44" customHeight="1">
      <x:c r="A16" s="68" t="str">
        <x:v>RetentionYears</x:v>
      </x:c>
      <x:c r="B16" s="77" t="n">
        <x:v>3</x:v>
      </x:c>
      <x:c r="C16" s="77" t="n">
        <x:f>'Requirements Register'!L11</x:f>
        <x:v>3</x:v>
      </x:c>
      <x:c r="D16" s="69" t="str">
        <x:f>IF(C16=7,"PASS","FAIL")</x:f>
        <x:v>FAIL</x:v>
      </x:c>
    </x:row>
  </x:sheetData>
  <x:mergeCells>
    <x:mergeCell ref="A1:D1"/>
    <x:mergeCell ref="A2:D2"/>
  </x:mergeCells>
  <x:conditionalFormatting sqref="D5:D16">
    <x:cfRule type="containsText" dxfId="20" priority="1" operator="containsText" text="PASS"/>
    <x:cfRule type="containsText" dxfId="21" priority="2" operator="containsText" text="FAIL"/>
  </x:conditionalFormatting>
  <x:pageMargins left="0.7" right="0.7" top="0.75" bottom="0.75" header="0.3" footer="0.3"/>
</x:worksheet>
</file>