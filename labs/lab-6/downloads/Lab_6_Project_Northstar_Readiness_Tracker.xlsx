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ea30c7ba9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 Summary" sheetId="1" r:id="R87db2c6639944da9"/>
    <x:sheet xmlns:r="http://schemas.openxmlformats.org/officeDocument/2006/relationships" name="UAT Defects" sheetId="2" r:id="Ree5b4990f0f3432b"/>
    <x:sheet xmlns:r="http://schemas.openxmlformats.org/officeDocument/2006/relationships" name="Migration" sheetId="3" r:id="Rd935d8e70f454d6f"/>
    <x:sheet xmlns:r="http://schemas.openxmlformats.org/officeDocument/2006/relationships" name="Training" sheetId="4" r:id="R9087618b29684749"/>
    <x:sheet xmlns:r="http://schemas.openxmlformats.org/officeDocument/2006/relationships" name="Risks and Actions" sheetId="5" r:id="R6c4afe91f6a743de"/>
    <x:sheet xmlns:r="http://schemas.openxmlformats.org/officeDocument/2006/relationships" name="Sources" sheetId="6" r:id="R67a20571ec2f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€#,##0"/>
    <x:numFmt numFmtId="202" formatCode="0.0%"/>
    <x:numFmt numFmtId="203" formatCode="dd mmm yyyy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6"/>
      <x:color rgb="FFA33A3A"/>
      <x:name val="Carlito"/>
    </x:font>
    <x:font>
      <x:b/>
      <x:sz val="11"/>
      <x:color rgb="FFC47F00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1"/>
      <x:color rgb="FF48658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  <x:font>
      <x:b/>
      <x:sz val="16"/>
      <x:color rgb="FFA33A3A"/>
      <x:name val="Aptos"/>
    </x:font>
    <x:font>
      <x:b/>
      <x:sz val="11"/>
      <x:color rgb="FFC47F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DF2"/>
      </x:patternFill>
    </x:fill>
    <x:fill>
      <x:patternFill patternType="solid">
        <x:fgColor rgb="FFFDECEC"/>
      </x:patternFill>
    </x:fill>
    <x:fill>
      <x:patternFill patternType="solid">
        <x:fgColor rgb="FFFFF5D6"/>
      </x:patternFill>
    </x:fill>
  </x:fills>
  <x:borders count="2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4" fillId="7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200" fontId="11" fillId="0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201" fontId="11" fillId="5" borderId="1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201" fontId="11" fillId="0" borderId="1" xfId="0" applyNumberFormat="1" applyFont="1" applyFill="1" applyBorder="1" applyAlignment="1">
      <x:alignment vertical="top" wrapText="1"/>
    </x:xf>
    <x:xf numFmtId="202" fontId="11" fillId="0" borderId="1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center" wrapText="1"/>
    </x:xf>
    <x:xf numFmtId="203" fontId="11" fillId="0" borderId="1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/>
    <x:xf numFmtId="0" fontId="1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C47F00"/>
      </x:font>
      <x:fill>
        <x:patternFill patternType="solid">
          <x:bgColor rgb="FFFFF5D6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C47F00"/>
      </x:font>
      <x:fill>
        <x:patternFill patternType="solid">
          <x:bgColor rgb="FFFFF5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6211ef09749fc" /><Relationship Type="http://schemas.openxmlformats.org/officeDocument/2006/relationships/theme" Target="/xl/theme/theme1.xml" Id="R8b14c0aa7e83456e" /><Relationship Type="http://schemas.openxmlformats.org/officeDocument/2006/relationships/sharedStrings" Target="/xl/sharedStrings.xml" Id="Rcaee2bfc5c3c4099" /><Relationship Type="http://schemas.openxmlformats.org/officeDocument/2006/relationships/worksheet" Target="/xl/worksheets/sheet1.xml" Id="R87db2c6639944da9" /><Relationship Type="http://schemas.openxmlformats.org/officeDocument/2006/relationships/worksheet" Target="/xl/worksheets/sheet2.xml" Id="Ree5b4990f0f3432b" /><Relationship Type="http://schemas.openxmlformats.org/officeDocument/2006/relationships/worksheet" Target="/xl/worksheets/sheet3.xml" Id="Rd935d8e70f454d6f" /><Relationship Type="http://schemas.openxmlformats.org/officeDocument/2006/relationships/worksheet" Target="/xl/worksheets/sheet4.xml" Id="R9087618b29684749" /><Relationship Type="http://schemas.openxmlformats.org/officeDocument/2006/relationships/worksheet" Target="/xl/worksheets/sheet5.xml" Id="R6c4afe91f6a743de" /><Relationship Type="http://schemas.openxmlformats.org/officeDocument/2006/relationships/worksheet" Target="/xl/worksheets/sheet6.xml" Id="R67a20571ec2f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20" hidden="0" customWidth="1"/>
    <x:col min="7" max="7" width="15" hidden="0" customWidth="1"/>
    <x:col min="8" max="8" width="44" hidden="0" customWidth="1"/>
  </x:cols>
  <x:sheetData>
    <x:row r="1" ht="30" customHeight="1">
      <x:c r="A1" s="33" t="str">
        <x:v>Project Northstar Readiness Tracker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Cut-off: 26 August 2026 | Synthetic workshop data | Yellow cells are controlled inputs.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4" customHeight="1">
      <x:c r="A4" s="36" t="str">
        <x:v>Readiness area</x:v>
      </x:c>
      <x:c r="B4" s="36" t="str">
        <x:v>Completed</x:v>
      </x:c>
      <x:c r="C4" s="36" t="str">
        <x:v>Total</x:v>
      </x:c>
      <x:c r="D4" s="36" t="str">
        <x:v>Current %</x:v>
      </x:c>
      <x:c r="E4" s="36" t="str">
        <x:v>Required gate</x:v>
      </x:c>
      <x:c r="F4" s="36" t="str">
        <x:v>Gate type</x:v>
      </x:c>
      <x:c r="G4" s="36" t="str">
        <x:v>Assessment</x:v>
      </x:c>
      <x:c r="H4" s="36" t="str">
        <x:v>Evidence / note</x:v>
      </x:c>
    </x:row>
    <x:row r="5" ht="48" customHeight="1">
      <x:c r="A5" s="37" t="str">
        <x:v>UAT</x:v>
      </x:c>
      <x:c r="B5" s="38" t="n">
        <x:v>184</x:v>
      </x:c>
      <x:c r="C5" s="38" t="n">
        <x:v>200</x:v>
      </x:c>
      <x:c r="D5" s="39" t="n">
        <x:f>B5/C5</x:f>
        <x:v>0.92</x:v>
      </x:c>
      <x:c r="E5" s="39" t="n">
        <x:v>1</x:v>
      </x:c>
      <x:c r="F5" s="37" t="str">
        <x:v>No Sev-1 defects</x:v>
      </x:c>
      <x:c r="G5" s="37" t="str">
        <x:f>IF(A5="UAT",IF(COUNTIF('UAT Defects'!E5:E20,"Open")=0,"Ready","Not ready"),IF(A5="Security","Conditional",IF(D5&gt;=E5,"Ready","Not ready")))</x:f>
        <x:v>Not ready</x:v>
      </x:c>
      <x:c r="H5" s="37" t="str">
        <x:v>Four Severity 1 defects remain open</x:v>
      </x:c>
    </x:row>
    <x:row r="6" ht="48" customHeight="1">
      <x:c r="A6" s="37" t="str">
        <x:v>Security</x:v>
      </x:c>
      <x:c r="B6" s="38" t="n">
        <x:v>0</x:v>
      </x:c>
      <x:c r="C6" s="38" t="n">
        <x:v>1</x:v>
      </x:c>
      <x:c r="D6" s="39" t="n">
        <x:f>B6/C6</x:f>
        <x:v>0</x:v>
      </x:c>
      <x:c r="E6" s="39" t="n">
        <x:v>1</x:v>
      </x:c>
      <x:c r="F6" s="37" t="str">
        <x:v>Approval or restriction</x:v>
      </x:c>
      <x:c r="G6" s="37" t="str">
        <x:f>IF(A6="UAT",IF(COUNTIF('UAT Defects'!E6:E21,"Open")=0,"Ready","Not ready"),IF(A6="Security","Conditional",IF(D6&gt;=E6,"Ready","Not ready")))</x:f>
        <x:v>Conditional</x:v>
      </x:c>
      <x:c r="H6" s="37" t="str">
        <x:v>Retest booked 10 Sep; external access not approved</x:v>
      </x:c>
    </x:row>
    <x:row r="7" ht="48" customHeight="1">
      <x:c r="A7" s="37" t="str">
        <x:v>Migration</x:v>
      </x:c>
      <x:c r="B7" s="38" t="n">
        <x:v>215</x:v>
      </x:c>
      <x:c r="C7" s="38" t="n">
        <x:v>250</x:v>
      </x:c>
      <x:c r="D7" s="39" t="n">
        <x:f>B7/C7</x:f>
        <x:v>0.86</x:v>
      </x:c>
      <x:c r="E7" s="39" t="n">
        <x:v>1</x:v>
      </x:c>
      <x:c r="F7" s="37" t="str">
        <x:v>250/250 validated</x:v>
      </x:c>
      <x:c r="G7" s="37" t="str">
        <x:f>IF(A7="UAT",IF(COUNTIF('UAT Defects'!E7:E22,"Open")=0,"Ready","Not ready"),IF(A7="Security","Conditional",IF(D7&gt;=E7,"Ready","Not ready")))</x:f>
        <x:v>Not ready</x:v>
      </x:c>
      <x:c r="H7" s="37" t="str">
        <x:v>35 supplier records remain</x:v>
      </x:c>
    </x:row>
    <x:row r="8" ht="48" customHeight="1">
      <x:c r="A8" s="37" t="str">
        <x:v>Training</x:v>
      </x:c>
      <x:c r="B8" s="38" t="n">
        <x:v>36</x:v>
      </x:c>
      <x:c r="C8" s="38" t="n">
        <x:v>50</x:v>
      </x:c>
      <x:c r="D8" s="39" t="n">
        <x:f>B8/C8</x:f>
        <x:v>0.72</x:v>
      </x:c>
      <x:c r="E8" s="39" t="n">
        <x:v>0.9</x:v>
      </x:c>
      <x:c r="F8" s="37" t="str">
        <x:v>At least 90%</x:v>
      </x:c>
      <x:c r="G8" s="37" t="str">
        <x:f>IF(A8="UAT",IF(COUNTIF('UAT Defects'!E8:E23,"Open")=0,"Ready","Not ready"),IF(A8="Security","Conditional",IF(D8&gt;=E8,"Ready","Not ready")))</x:f>
        <x:v>Not ready</x:v>
      </x:c>
      <x:c r="H8" s="37" t="str">
        <x:v>Nine more users needed to reach 45/50</x:v>
      </x:c>
    </x:row>
    <x:row r="9" ht="48" customHeight="1">
      <x:c r="A9" s="37" t="str">
        <x:v>Operations</x:v>
      </x:c>
      <x:c r="B9" s="38" t="n">
        <x:v>0</x:v>
      </x:c>
      <x:c r="C9" s="38" t="n">
        <x:v>1</x:v>
      </x:c>
      <x:c r="D9" s="39" t="n">
        <x:f>B9/C9</x:f>
        <x:v>0</x:v>
      </x:c>
      <x:c r="E9" s="39" t="n">
        <x:v>1</x:v>
      </x:c>
      <x:c r="F9" s="37" t="str">
        <x:v>Support owner confirmed</x:v>
      </x:c>
      <x:c r="G9" s="37" t="str">
        <x:f>IF(A9="UAT",IF(COUNTIF('UAT Defects'!E9:E24,"Open")=0,"Ready","Not ready"),IF(A9="Security","Conditional",IF(D9&gt;=E9,"Ready","Not ready")))</x:f>
        <x:v>Not ready</x:v>
      </x:c>
      <x:c r="H9" s="37" t="str">
        <x:v>Support owner is Not confirmed</x:v>
      </x:c>
    </x:row>
    <x:row r="10">
      <x:c r="A10" s="34"/>
      <x:c r="B10" s="34"/>
      <x:c r="C10" s="34"/>
      <x:c r="D10" s="34"/>
      <x:c r="E10" s="34"/>
      <x:c r="F10" s="34"/>
      <x:c r="G10" s="34"/>
      <x:c r="H10" s="34"/>
    </x:row>
    <x:row r="11" ht="34" customHeight="1">
      <x:c r="A11" s="36" t="str">
        <x:v>Financial field</x:v>
      </x:c>
      <x:c r="B11" s="36" t="str">
        <x:v>Value</x:v>
      </x:c>
      <x:c r="C11" s="34"/>
      <x:c r="D11" s="40" t="str">
        <x:v>Overall release status</x:v>
      </x:c>
      <x:c r="E11" s="40"/>
      <x:c r="F11" s="40"/>
      <x:c r="G11" s="40"/>
      <x:c r="H11" s="40"/>
    </x:row>
    <x:row r="12">
      <x:c r="A12" s="37" t="str">
        <x:v>Approved budget</x:v>
      </x:c>
      <x:c r="B12" s="41" t="n">
        <x:v>240000</x:v>
      </x:c>
      <x:c r="C12" s="34"/>
      <x:c r="D12" s="42" t="str">
        <x:f>IF(COUNTIF(G5:G9,"Not ready")&gt;0,"NOT READY - release gates remain open",IF(COUNTIF(G5:G9,"Conditional")&gt;0,"CONDITIONAL","READY"))</x:f>
        <x:v>NOT READY - release gates remain open</x:v>
      </x:c>
      <x:c r="E12" s="42"/>
      <x:c r="F12" s="42"/>
      <x:c r="G12" s="42"/>
      <x:c r="H12" s="42"/>
    </x:row>
    <x:row r="13">
      <x:c r="A13" s="37" t="str">
        <x:v>Spend to date</x:v>
      </x:c>
      <x:c r="B13" s="41" t="n">
        <x:v>218000</x:v>
      </x:c>
      <x:c r="C13" s="34"/>
      <x:c r="D13" s="42"/>
      <x:c r="E13" s="42"/>
      <x:c r="F13" s="42"/>
      <x:c r="G13" s="42"/>
      <x:c r="H13" s="42"/>
    </x:row>
    <x:row r="14">
      <x:c r="A14" s="37" t="str">
        <x:v>Forecast at completion</x:v>
      </x:c>
      <x:c r="B14" s="41" t="n">
        <x:v>252000</x:v>
      </x:c>
      <x:c r="C14" s="34"/>
      <x:c r="D14" s="42"/>
      <x:c r="E14" s="42"/>
      <x:c r="F14" s="42"/>
      <x:c r="G14" s="42"/>
      <x:c r="H14" s="42"/>
    </x:row>
    <x:row r="15">
      <x:c r="A15" s="37" t="str">
        <x:v>Forecast variance</x:v>
      </x:c>
      <x:c r="B15" s="43" t="n">
        <x:f>B14-B12</x:f>
        <x:v>12000</x:v>
      </x:c>
      <x:c r="C15" s="34"/>
      <x:c r="D15" s="42"/>
      <x:c r="E15" s="42"/>
      <x:c r="F15" s="42"/>
      <x:c r="G15" s="42"/>
      <x:c r="H15" s="42"/>
    </x:row>
    <x:row r="16">
      <x:c r="A16" s="37" t="str">
        <x:v>Forecast variance %</x:v>
      </x:c>
      <x:c r="B16" s="44" t="n">
        <x:f>B15/B12</x:f>
        <x:v>0.05</x:v>
      </x:c>
      <x:c r="C16" s="34"/>
      <x:c r="D16" s="45" t="str">
        <x:v>Working recommendation: Conditional Go on 29 Sep 2026 only if every release gate is met. This is not an approved committee decision.</x:v>
      </x:c>
      <x:c r="E16" s="45"/>
      <x:c r="F16" s="45"/>
      <x:c r="G16" s="45"/>
      <x:c r="H16" s="45"/>
    </x:row>
    <x:row r="17">
      <x:c r="A17" s="34"/>
      <x:c r="B17" s="34"/>
      <x:c r="C17" s="34"/>
      <x:c r="D17" s="45"/>
      <x:c r="E17" s="45"/>
      <x:c r="F17" s="45"/>
      <x:c r="G17" s="45"/>
      <x:c r="H17" s="45"/>
    </x:row>
    <x:row r="18">
      <x:c r="A18" s="34"/>
      <x:c r="B18" s="34"/>
      <x:c r="C18" s="34"/>
      <x:c r="D18" s="45"/>
      <x:c r="E18" s="45"/>
      <x:c r="F18" s="45"/>
      <x:c r="G18" s="45"/>
      <x:c r="H18" s="45"/>
    </x:row>
  </x:sheetData>
  <x:mergeCells>
    <x:mergeCell ref="A1:H1"/>
    <x:mergeCell ref="A2:H2"/>
    <x:mergeCell ref="D11:H11"/>
    <x:mergeCell ref="D12:H15"/>
    <x:mergeCell ref="D16:H18"/>
  </x:mergeCells>
  <x:conditionalFormatting sqref="G5:G9">
    <x:cfRule type="containsText" dxfId="0" priority="1" operator="containsText" text="Not ready"/>
    <x:cfRule type="containsText" dxfId="1" priority="2" operator="containsText" text="Condition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4" hidden="0" customWidth="1"/>
    <x:col min="4" max="4" width="18" hidden="0" customWidth="1"/>
    <x:col min="5" max="5" width="12" hidden="0" customWidth="1"/>
    <x:col min="6" max="6" width="15" hidden="0" customWidth="1"/>
    <x:col min="7" max="7" width="19" hidden="0" customWidth="1"/>
    <x:col min="8" max="8" width="20" hidden="0" customWidth="1"/>
  </x:cols>
  <x:sheetData>
    <x:row r="1" ht="30" customHeight="1">
      <x:c r="A1" s="33" t="str">
        <x:v>UAT Defects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Current UAT evidence. Four open Severity 1 defects prevent release readiness.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4" customHeight="1">
      <x:c r="A4" s="36" t="str">
        <x:v>Defect ID</x:v>
      </x:c>
      <x:c r="B4" s="36" t="str">
        <x:v>Description</x:v>
      </x:c>
      <x:c r="C4" s="36" t="str">
        <x:v>Severity</x:v>
      </x:c>
      <x:c r="D4" s="36" t="str">
        <x:v>Owner</x:v>
      </x:c>
      <x:c r="E4" s="36" t="str">
        <x:v>Status</x:v>
      </x:c>
      <x:c r="F4" s="36" t="str">
        <x:v>Target fix</x:v>
      </x:c>
      <x:c r="G4" s="36" t="str">
        <x:v>Evidence</x:v>
      </x:c>
      <x:c r="H4" s="36" t="str">
        <x:v>Release impact</x:v>
      </x:c>
    </x:row>
    <x:row r="5" ht="45" customHeight="1">
      <x:c r="A5" s="37" t="str">
        <x:v>NS-UAT-041</x:v>
      </x:c>
      <x:c r="B5" s="37" t="str">
        <x:v>Duplicate supplier warning not triggered</x:v>
      </x:c>
      <x:c r="C5" s="37" t="str">
        <x:v>Severity 1</x:v>
      </x:c>
      <x:c r="D5" s="37" t="str">
        <x:v>Vendor team</x:v>
      </x:c>
      <x:c r="E5" s="37" t="str">
        <x:v>Open</x:v>
      </x:c>
      <x:c r="F5" s="46" t="n">
        <x:v>46273</x:v>
      </x:c>
      <x:c r="G5" s="37" t="str">
        <x:v>Test run 184</x:v>
      </x:c>
      <x:c r="H5" s="37" t="str">
        <x:v>Blocks release</x:v>
      </x:c>
    </x:row>
    <x:row r="6" ht="45" customHeight="1">
      <x:c r="A6" s="37" t="str">
        <x:v>NS-UAT-052</x:v>
      </x:c>
      <x:c r="B6" s="37" t="str">
        <x:v>Bank verification approval can be bypassed</x:v>
      </x:c>
      <x:c r="C6" s="37" t="str">
        <x:v>Severity 1</x:v>
      </x:c>
      <x:c r="D6" s="37" t="str">
        <x:v>Vendor team</x:v>
      </x:c>
      <x:c r="E6" s="37" t="str">
        <x:v>Open</x:v>
      </x:c>
      <x:c r="F6" s="46" t="n">
        <x:v>46273</x:v>
      </x:c>
      <x:c r="G6" s="37" t="str">
        <x:v>Test run 176</x:v>
      </x:c>
      <x:c r="H6" s="37" t="str">
        <x:v>Blocks release</x:v>
      </x:c>
    </x:row>
    <x:row r="7" ht="45" customHeight="1">
      <x:c r="A7" s="37" t="str">
        <x:v>NS-UAT-061</x:v>
      </x:c>
      <x:c r="B7" s="37" t="str">
        <x:v>Compliance evidence missing from export</x:v>
      </x:c>
      <x:c r="C7" s="37" t="str">
        <x:v>Severity 1</x:v>
      </x:c>
      <x:c r="D7" s="37" t="str">
        <x:v>Vendor team</x:v>
      </x:c>
      <x:c r="E7" s="37" t="str">
        <x:v>Open</x:v>
      </x:c>
      <x:c r="F7" s="46" t="n">
        <x:v>46273</x:v>
      </x:c>
      <x:c r="G7" s="37" t="str">
        <x:v>Test run 181</x:v>
      </x:c>
      <x:c r="H7" s="37" t="str">
        <x:v>Blocks release</x:v>
      </x:c>
    </x:row>
    <x:row r="8" ht="45" customHeight="1">
      <x:c r="A8" s="37" t="str">
        <x:v>NS-UAT-067</x:v>
      </x:c>
      <x:c r="B8" s="37" t="str">
        <x:v>External supplier invitation expires early</x:v>
      </x:c>
      <x:c r="C8" s="37" t="str">
        <x:v>Severity 1</x:v>
      </x:c>
      <x:c r="D8" s="37" t="str">
        <x:v>Vendor team</x:v>
      </x:c>
      <x:c r="E8" s="37" t="str">
        <x:v>Open</x:v>
      </x:c>
      <x:c r="F8" s="46" t="n">
        <x:v>46273</x:v>
      </x:c>
      <x:c r="G8" s="37" t="str">
        <x:v>Test run 183</x:v>
      </x:c>
      <x:c r="H8" s="37" t="str">
        <x:v>Blocks release</x:v>
      </x:c>
    </x:row>
    <x:row r="9" ht="45" customHeight="1">
      <x:c r="A9" s="37" t="str">
        <x:v>NS-UAT-034</x:v>
      </x:c>
      <x:c r="B9" s="37" t="str">
        <x:v>Status email subject inconsistent</x:v>
      </x:c>
      <x:c r="C9" s="37" t="str">
        <x:v>Severity 3</x:v>
      </x:c>
      <x:c r="D9" s="37" t="str">
        <x:v>Vendor team</x:v>
      </x:c>
      <x:c r="E9" s="37" t="str">
        <x:v>Closed</x:v>
      </x:c>
      <x:c r="F9" s="46" t="n">
        <x:v>46258</x:v>
      </x:c>
      <x:c r="G9" s="37" t="str">
        <x:v>Retest 179</x:v>
      </x:c>
      <x:c r="H9" s="37" t="str">
        <x:v>No release impact</x:v>
      </x:c>
    </x:row>
    <x:row r="10" ht="45" customHeight="1">
      <x:c r="A10" s="37" t="str">
        <x:v>NS-UAT-038</x:v>
      </x:c>
      <x:c r="B10" s="37" t="str">
        <x:v>Dashboard label truncated</x:v>
      </x:c>
      <x:c r="C10" s="37" t="str">
        <x:v>Severity 3</x:v>
      </x:c>
      <x:c r="D10" s="37" t="str">
        <x:v>Vendor team</x:v>
      </x:c>
      <x:c r="E10" s="37" t="str">
        <x:v>Closed</x:v>
      </x:c>
      <x:c r="F10" s="46" t="n">
        <x:v>46259</x:v>
      </x:c>
      <x:c r="G10" s="37" t="str">
        <x:v>Retest 180</x:v>
      </x:c>
      <x:c r="H10" s="37" t="str">
        <x:v>No release impact</x:v>
      </x:c>
    </x:row>
    <x:row r="11">
      <x:c r="A11" s="34"/>
      <x:c r="B11" s="34"/>
      <x:c r="C11" s="34"/>
      <x:c r="D11" s="34"/>
      <x:c r="E11" s="34"/>
      <x:c r="F11" s="47"/>
      <x:c r="G11" s="34"/>
      <x:c r="H11" s="34"/>
    </x:row>
    <x:row r="12">
      <x:c r="A12" s="34"/>
      <x:c r="B12" s="34"/>
      <x:c r="C12" s="34"/>
      <x:c r="D12" s="34"/>
      <x:c r="E12" s="34"/>
      <x:c r="F12" s="47"/>
      <x:c r="G12" s="34"/>
      <x:c r="H12" s="34"/>
    </x:row>
    <x:row r="13">
      <x:c r="A13" s="34"/>
      <x:c r="B13" s="34"/>
      <x:c r="C13" s="34"/>
      <x:c r="D13" s="34"/>
      <x:c r="E13" s="34"/>
      <x:c r="F13" s="47"/>
      <x:c r="G13" s="34"/>
      <x:c r="H13" s="34"/>
    </x:row>
    <x:row r="14">
      <x:c r="A14" s="34"/>
      <x:c r="B14" s="34"/>
      <x:c r="C14" s="34"/>
      <x:c r="D14" s="34"/>
      <x:c r="E14" s="34"/>
      <x:c r="F14" s="47"/>
      <x:c r="G14" s="34"/>
      <x:c r="H14" s="34"/>
    </x:row>
    <x:row r="15">
      <x:c r="A15" s="34"/>
      <x:c r="B15" s="34"/>
      <x:c r="C15" s="34"/>
      <x:c r="D15" s="34"/>
      <x:c r="E15" s="34"/>
      <x:c r="F15" s="47"/>
      <x:c r="G15" s="34"/>
      <x:c r="H15" s="34"/>
    </x:row>
    <x:row r="16">
      <x:c r="A16" s="34"/>
      <x:c r="B16" s="34"/>
      <x:c r="C16" s="34"/>
      <x:c r="D16" s="34"/>
      <x:c r="E16" s="34"/>
      <x:c r="F16" s="47"/>
      <x:c r="G16" s="34"/>
      <x:c r="H16" s="34"/>
    </x:row>
    <x:row r="17">
      <x:c r="A17" s="34"/>
      <x:c r="B17" s="34"/>
      <x:c r="C17" s="34"/>
      <x:c r="D17" s="34"/>
      <x:c r="E17" s="34"/>
      <x:c r="F17" s="47"/>
      <x:c r="G17" s="34"/>
      <x:c r="H17" s="34"/>
    </x:row>
    <x:row r="18">
      <x:c r="A18" s="34"/>
      <x:c r="B18" s="34"/>
      <x:c r="C18" s="34"/>
      <x:c r="D18" s="34"/>
      <x:c r="E18" s="34"/>
      <x:c r="F18" s="47"/>
      <x:c r="G18" s="34"/>
      <x:c r="H18" s="34"/>
    </x:row>
    <x:row r="19">
      <x:c r="A19" s="34"/>
      <x:c r="B19" s="34"/>
      <x:c r="C19" s="34"/>
      <x:c r="D19" s="34"/>
      <x:c r="E19" s="34"/>
      <x:c r="F19" s="47"/>
      <x:c r="G19" s="34"/>
      <x:c r="H19" s="34"/>
    </x:row>
    <x:row r="20">
      <x:c r="A20" s="34"/>
      <x:c r="B20" s="34"/>
      <x:c r="C20" s="34"/>
      <x:c r="D20" s="34"/>
      <x:c r="E20" s="34"/>
      <x:c r="F20" s="47"/>
      <x:c r="G20" s="34"/>
      <x:c r="H20" s="34"/>
    </x:row>
  </x:sheetData>
  <x:mergeCells>
    <x:mergeCell ref="A1:H1"/>
    <x:mergeCell ref="A2:H2"/>
  </x:mergeCells>
  <x:conditionalFormatting sqref="E5:E20">
    <x:cfRule type="containsText" dxfId="2" priority="1" operator="containsText" text="Open"/>
  </x:conditionalFormatting>
  <x:dataValidations count="2">
    <x:dataValidation type="list" sqref="E5:E20">
      <x:formula1>"Open,Closed,Accepted"</x:formula1>
    </x:dataValidation>
    <x:dataValidation type="list" sqref="C5:C20">
      <x:formula1>"Severity 1,Severity 2,Severity 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4" hidden="0" customWidth="1"/>
    <x:col min="4" max="4" width="14" hidden="0" customWidth="1"/>
    <x:col min="5" max="5" width="16" hidden="0" customWidth="1"/>
    <x:col min="6" max="6" width="24" hidden="0" customWidth="1"/>
  </x:cols>
  <x:sheetData>
    <x:row r="1" ht="30" customHeight="1">
      <x:c r="A1" s="33" t="str">
        <x:v>Supplier Migration Validation</x:v>
      </x:c>
      <x:c r="B1" s="34"/>
      <x:c r="C1" s="34"/>
      <x:c r="D1" s="34"/>
      <x:c r="E1" s="34"/>
      <x:c r="F1" s="34"/>
    </x:row>
    <x:row r="2">
      <x:c r="A2" s="35" t="str">
        <x:v>250 pilot suppliers | 215 validated | 35 remain | Final sign-off owner is Not confirmed.</x:v>
      </x:c>
      <x:c r="B2" s="34"/>
      <x:c r="C2" s="34"/>
      <x:c r="D2" s="34"/>
      <x:c r="E2" s="34"/>
      <x:c r="F2" s="34"/>
    </x:row>
    <x:row r="3">
      <x:c r="A3" s="34"/>
      <x:c r="B3" s="34"/>
      <x:c r="C3" s="34"/>
      <x:c r="D3" s="34"/>
      <x:c r="E3" s="34"/>
      <x:c r="F3" s="34"/>
    </x:row>
    <x:row r="4" ht="34" customHeight="1">
      <x:c r="A4" s="36" t="str">
        <x:v>Segment</x:v>
      </x:c>
      <x:c r="B4" s="36" t="str">
        <x:v>Supplier count</x:v>
      </x:c>
      <x:c r="C4" s="36" t="str">
        <x:v>Validated</x:v>
      </x:c>
      <x:c r="D4" s="36" t="str">
        <x:v>Remaining</x:v>
      </x:c>
      <x:c r="E4" s="36" t="str">
        <x:v>Completion %</x:v>
      </x:c>
      <x:c r="F4" s="36" t="str">
        <x:v>Sign-off owner</x:v>
      </x:c>
    </x:row>
    <x:row r="5">
      <x:c r="A5" s="37" t="str">
        <x:v>Strategic suppliers</x:v>
      </x:c>
      <x:c r="B5" s="38" t="n">
        <x:v>60</x:v>
      </x:c>
      <x:c r="C5" s="38" t="n">
        <x:v>58</x:v>
      </x:c>
      <x:c r="D5" s="37" t="n">
        <x:f>B5-C5</x:f>
        <x:v>2</x:v>
      </x:c>
      <x:c r="E5" s="39" t="n">
        <x:f>C5/B5</x:f>
        <x:v>0.9666666666666667</x:v>
      </x:c>
      <x:c r="F5" s="48" t="str">
        <x:v>Not confirmed</x:v>
      </x:c>
    </x:row>
    <x:row r="6">
      <x:c r="A6" s="37" t="str">
        <x:v>Operational suppliers</x:v>
      </x:c>
      <x:c r="B6" s="38" t="n">
        <x:v>110</x:v>
      </x:c>
      <x:c r="C6" s="38" t="n">
        <x:v>96</x:v>
      </x:c>
      <x:c r="D6" s="37" t="n">
        <x:f>B6-C6</x:f>
        <x:v>14</x:v>
      </x:c>
      <x:c r="E6" s="39" t="n">
        <x:f>C6/B6</x:f>
        <x:v>0.8727272727272727</x:v>
      </x:c>
      <x:c r="F6" s="48" t="str">
        <x:v>Not confirmed</x:v>
      </x:c>
    </x:row>
    <x:row r="7">
      <x:c r="A7" s="37" t="str">
        <x:v>Long-tail suppliers</x:v>
      </x:c>
      <x:c r="B7" s="38" t="n">
        <x:v>80</x:v>
      </x:c>
      <x:c r="C7" s="38" t="n">
        <x:v>61</x:v>
      </x:c>
      <x:c r="D7" s="37" t="n">
        <x:f>B7-C7</x:f>
        <x:v>19</x:v>
      </x:c>
      <x:c r="E7" s="39" t="n">
        <x:f>C7/B7</x:f>
        <x:v>0.7625</x:v>
      </x:c>
      <x:c r="F7" s="48" t="str">
        <x:v>Not confirmed</x:v>
      </x:c>
    </x:row>
    <x:row r="8">
      <x:c r="A8" s="37" t="str">
        <x:v>Total</x:v>
      </x:c>
      <x:c r="B8" s="37" t="n">
        <x:f>SUM(B5:B7)</x:f>
        <x:v>250</x:v>
      </x:c>
      <x:c r="C8" s="37" t="n">
        <x:f>SUM(C5:C7)</x:f>
        <x:v>215</x:v>
      </x:c>
      <x:c r="D8" s="37" t="n">
        <x:f>SUM(D5:D7)</x:f>
        <x:v>35</x:v>
      </x:c>
      <x:c r="E8" s="39" t="n">
        <x:f>C8/B8</x:f>
        <x:v>0.86</x:v>
      </x:c>
      <x:c r="F8" s="48" t="str">
        <x:v>Not confirmed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7" hidden="0" customWidth="1"/>
    <x:col min="6" max="6" width="18" hidden="0" customWidth="1"/>
  </x:cols>
  <x:sheetData>
    <x:row r="1" ht="30" customHeight="1">
      <x:c r="A1" s="33" t="str">
        <x:v>Pilot User Training</x:v>
      </x:c>
      <x:c r="B1" s="34"/>
      <x:c r="C1" s="34"/>
      <x:c r="D1" s="34"/>
      <x:c r="E1" s="34"/>
      <x:c r="F1" s="34"/>
    </x:row>
    <x:row r="2">
      <x:c r="A2" s="35" t="str">
        <x:v>50 pilot users | 36 trained | 45 required for the 90% release gate.</x:v>
      </x:c>
      <x:c r="B2" s="34"/>
      <x:c r="C2" s="34"/>
      <x:c r="D2" s="34"/>
      <x:c r="E2" s="34"/>
      <x:c r="F2" s="34"/>
    </x:row>
    <x:row r="3">
      <x:c r="A3" s="34"/>
      <x:c r="B3" s="34"/>
      <x:c r="C3" s="34"/>
      <x:c r="D3" s="34"/>
      <x:c r="E3" s="34"/>
      <x:c r="F3" s="34"/>
    </x:row>
    <x:row r="4" ht="34" customHeight="1">
      <x:c r="A4" s="36" t="str">
        <x:v>Business group</x:v>
      </x:c>
      <x:c r="B4" s="36" t="str">
        <x:v>Pilot users</x:v>
      </x:c>
      <x:c r="C4" s="36" t="str">
        <x:v>Completed</x:v>
      </x:c>
      <x:c r="D4" s="36" t="str">
        <x:v>Remaining</x:v>
      </x:c>
      <x:c r="E4" s="36" t="str">
        <x:v>Completion %</x:v>
      </x:c>
      <x:c r="F4" s="36" t="str">
        <x:v>Status</x:v>
      </x:c>
    </x:row>
    <x:row r="5">
      <x:c r="A5" s="37" t="str">
        <x:v>Procurement</x:v>
      </x:c>
      <x:c r="B5" s="38" t="n">
        <x:v>30</x:v>
      </x:c>
      <x:c r="C5" s="38" t="n">
        <x:v>24</x:v>
      </x:c>
      <x:c r="D5" s="37" t="n">
        <x:f>B5-C5</x:f>
        <x:v>6</x:v>
      </x:c>
      <x:c r="E5" s="39" t="n">
        <x:f>C5/B5</x:f>
        <x:v>0.8</x:v>
      </x:c>
      <x:c r="F5" s="37" t="str">
        <x:f>IF(E5&gt;=90%,"Gate met","Below gate")</x:f>
        <x:v>Below gate</x:v>
      </x:c>
    </x:row>
    <x:row r="6">
      <x:c r="A6" s="37" t="str">
        <x:v>Operations</x:v>
      </x:c>
      <x:c r="B6" s="38" t="n">
        <x:v>20</x:v>
      </x:c>
      <x:c r="C6" s="38" t="n">
        <x:v>12</x:v>
      </x:c>
      <x:c r="D6" s="37" t="n">
        <x:f>B6-C6</x:f>
        <x:v>8</x:v>
      </x:c>
      <x:c r="E6" s="39" t="n">
        <x:f>C6/B6</x:f>
        <x:v>0.6</x:v>
      </x:c>
      <x:c r="F6" s="37" t="str">
        <x:f>IF(E6&gt;=90%,"Gate met","Below gate")</x:f>
        <x:v>Below gate</x:v>
      </x:c>
    </x:row>
    <x:row r="7">
      <x:c r="A7" s="37" t="str">
        <x:v>Total</x:v>
      </x:c>
      <x:c r="B7" s="37" t="n">
        <x:f>SUM(B5:B6)</x:f>
        <x:v>50</x:v>
      </x:c>
      <x:c r="C7" s="37" t="n">
        <x:f>SUM(C5:C6)</x:f>
        <x:v>36</x:v>
      </x:c>
      <x:c r="D7" s="37" t="n">
        <x:f>SUM(D5:D6)</x:f>
        <x:v>14</x:v>
      </x:c>
      <x:c r="E7" s="39" t="n">
        <x:f>C7/B7</x:f>
        <x:v>0.72</x:v>
      </x:c>
      <x:c r="F7" s="37" t="str">
        <x:f>IF(E7&gt;=90%,"Gate met","Below gate")</x:f>
        <x:v>Below gate</x:v>
      </x:c>
    </x:row>
  </x:sheetData>
  <x:mergeCells>
    <x:mergeCell ref="A1:F1"/>
    <x:mergeCell ref="A2:F2"/>
  </x:mergeCells>
  <x:conditionalFormatting sqref="F5:F7">
    <x:cfRule type="containsText" dxfId="3" priority="1" operator="containsText" text="Belo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40" hidden="0" customWidth="1"/>
    <x:col min="4" max="4" width="24" hidden="0" customWidth="1"/>
    <x:col min="5" max="5" width="14" hidden="0" customWidth="1"/>
    <x:col min="6" max="6" width="14" hidden="0" customWidth="1"/>
    <x:col min="7" max="7" width="34" hidden="0" customWidth="1"/>
    <x:col min="8" max="8" width="18" hidden="0" customWidth="1"/>
    <x:col min="9" max="9" width="15" hidden="0" customWidth="1"/>
    <x:col min="10" max="10" width="18" hidden="0" customWidth="1"/>
  </x:cols>
  <x:sheetData>
    <x:row r="1" ht="30" customHeight="1">
      <x:c r="A1" s="33" t="str">
        <x:v>Risks and Actions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>
      <x:c r="A2" s="35" t="str">
        <x:v>Facts, forecasts and missing ownership are kept separate.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34" customHeight="1">
      <x:c r="A4" s="36" t="str">
        <x:v>ID</x:v>
      </x:c>
      <x:c r="B4" s="36" t="str">
        <x:v>Type</x:v>
      </x:c>
      <x:c r="C4" s="36" t="str">
        <x:v>Description</x:v>
      </x:c>
      <x:c r="D4" s="36" t="str">
        <x:v>Evidence status</x:v>
      </x:c>
      <x:c r="E4" s="36" t="str">
        <x:v>Likelihood</x:v>
      </x:c>
      <x:c r="F4" s="36" t="str">
        <x:v>Impact</x:v>
      </x:c>
      <x:c r="G4" s="36" t="str">
        <x:v>Mitigation / action</x:v>
      </x:c>
      <x:c r="H4" s="36" t="str">
        <x:v>Owner</x:v>
      </x:c>
      <x:c r="I4" s="36" t="str">
        <x:v>Due</x:v>
      </x:c>
      <x:c r="J4" s="36" t="str">
        <x:v>Decision required</x:v>
      </x:c>
    </x:row>
    <x:row r="5" ht="48" customHeight="1">
      <x:c r="A5" s="37" t="str">
        <x:v>R-01</x:v>
      </x:c>
      <x:c r="B5" s="37" t="str">
        <x:v>Risk</x:v>
      </x:c>
      <x:c r="C5" s="37" t="str">
        <x:v>Four Severity 1 defects remain open</x:v>
      </x:c>
      <x:c r="D5" s="37" t="str">
        <x:v>Confirmed</x:v>
      </x:c>
      <x:c r="E5" s="37" t="str">
        <x:v>High</x:v>
      </x:c>
      <x:c r="F5" s="37" t="str">
        <x:v>High</x:v>
      </x:c>
      <x:c r="G5" s="37" t="str">
        <x:v>Fix and retest</x:v>
      </x:c>
      <x:c r="H5" s="37" t="str">
        <x:v>Daniel Weber</x:v>
      </x:c>
      <x:c r="I5" s="46" t="n">
        <x:v>46273</x:v>
      </x:c>
      <x:c r="J5" s="37" t="str">
        <x:v>No</x:v>
      </x:c>
    </x:row>
    <x:row r="6" ht="48" customHeight="1">
      <x:c r="A6" s="37" t="str">
        <x:v>R-02</x:v>
      </x:c>
      <x:c r="B6" s="37" t="str">
        <x:v>Risk</x:v>
      </x:c>
      <x:c r="C6" s="37" t="str">
        <x:v>External access not approved before security retest</x:v>
      </x:c>
      <x:c r="D6" s="37" t="str">
        <x:v>Confirmed</x:v>
      </x:c>
      <x:c r="E6" s="37" t="str">
        <x:v>Medium</x:v>
      </x:c>
      <x:c r="F6" s="37" t="str">
        <x:v>High</x:v>
      </x:c>
      <x:c r="G6" s="37" t="str">
        <x:v>Disable external access until approval</x:v>
      </x:c>
      <x:c r="H6" s="37" t="str">
        <x:v>Priya Shah</x:v>
      </x:c>
      <x:c r="I6" s="46" t="n">
        <x:v>46275</x:v>
      </x:c>
      <x:c r="J6" s="37" t="str">
        <x:v>Yes</x:v>
      </x:c>
    </x:row>
    <x:row r="7" ht="48" customHeight="1">
      <x:c r="A7" s="37" t="str">
        <x:v>R-03</x:v>
      </x:c>
      <x:c r="B7" s="37" t="str">
        <x:v>Risk</x:v>
      </x:c>
      <x:c r="C7" s="37" t="str">
        <x:v>35 supplier records remain unvalidated</x:v>
      </x:c>
      <x:c r="D7" s="37" t="str">
        <x:v>Confirmed</x:v>
      </x:c>
      <x:c r="E7" s="37" t="str">
        <x:v>Medium</x:v>
      </x:c>
      <x:c r="F7" s="37" t="str">
        <x:v>High</x:v>
      </x:c>
      <x:c r="G7" s="37" t="str">
        <x:v>Complete validation</x:v>
      </x:c>
      <x:c r="H7" s="37" t="str">
        <x:v>Not confirmed</x:v>
      </x:c>
      <x:c r="I7" s="46"/>
      <x:c r="J7" s="37" t="str">
        <x:v>Yes</x:v>
      </x:c>
    </x:row>
    <x:row r="8" ht="48" customHeight="1">
      <x:c r="A8" s="37" t="str">
        <x:v>R-04</x:v>
      </x:c>
      <x:c r="B8" s="37" t="str">
        <x:v>Risk</x:v>
      </x:c>
      <x:c r="C8" s="37" t="str">
        <x:v>Training is below the 90% release gate</x:v>
      </x:c>
      <x:c r="D8" s="37" t="str">
        <x:v>Confirmed</x:v>
      </x:c>
      <x:c r="E8" s="37" t="str">
        <x:v>Medium</x:v>
      </x:c>
      <x:c r="F8" s="37" t="str">
        <x:v>Medium</x:v>
      </x:c>
      <x:c r="G8" s="37" t="str">
        <x:v>Train nine additional users</x:v>
      </x:c>
      <x:c r="H8" s="37" t="str">
        <x:v>Sofia Lind</x:v>
      </x:c>
      <x:c r="I8" s="46"/>
      <x:c r="J8" s="37" t="str">
        <x:v>No</x:v>
      </x:c>
    </x:row>
    <x:row r="9" ht="48" customHeight="1">
      <x:c r="A9" s="37" t="str">
        <x:v>R-05</x:v>
      </x:c>
      <x:c r="B9" s="37" t="str">
        <x:v>Assumption</x:v>
      </x:c>
      <x:c r="C9" s="37" t="str">
        <x:v>Delay costs EUR 35,000 per week</x:v>
      </x:c>
      <x:c r="D9" s="37" t="str">
        <x:v>Unsupported vendor statement</x:v>
      </x:c>
      <x:c r="E9" s="37" t="str">
        <x:v>Not confirmed</x:v>
      </x:c>
      <x:c r="F9" s="37" t="str">
        <x:v>Not confirmed</x:v>
      </x:c>
      <x:c r="G9" s="37" t="str">
        <x:v>Obtain Finance calculation</x:v>
      </x:c>
      <x:c r="H9" s="37" t="str">
        <x:v>Not confirmed</x:v>
      </x:c>
      <x:c r="I9" s="46"/>
      <x:c r="J9" s="37" t="str">
        <x:v>No</x:v>
      </x:c>
    </x:row>
    <x:row r="10" ht="48" customHeight="1">
      <x:c r="A10" s="37" t="str">
        <x:v>A-01</x:v>
      </x:c>
      <x:c r="B10" s="37" t="str">
        <x:v>Action</x:v>
      </x:c>
      <x:c r="C10" s="37" t="str">
        <x:v>Confirm first-week support owner</x:v>
      </x:c>
      <x:c r="D10" s="37" t="str">
        <x:v>Open</x:v>
      </x:c>
      <x:c r="E10" s="37" t="str"/>
      <x:c r="F10" s="37" t="str"/>
      <x:c r="G10" s="37" t="str">
        <x:v>Nominate and confirm owner</x:v>
      </x:c>
      <x:c r="H10" s="37" t="str">
        <x:v>Not confirmed</x:v>
      </x:c>
      <x:c r="I10" s="46"/>
      <x:c r="J10" s="37" t="str">
        <x:v>Yes</x:v>
      </x:c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47"/>
      <x:c r="J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47"/>
      <x:c r="J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47"/>
      <x:c r="J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47"/>
      <x:c r="J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47"/>
      <x:c r="J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47"/>
      <x:c r="J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47"/>
      <x:c r="J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47"/>
      <x:c r="J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47"/>
      <x:c r="J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47"/>
      <x:c r="J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47"/>
      <x:c r="J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47"/>
      <x:c r="J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47"/>
      <x:c r="J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47"/>
      <x:c r="J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47"/>
      <x:c r="J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47"/>
      <x:c r="J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47"/>
      <x:c r="J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47"/>
      <x:c r="J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47"/>
      <x:c r="J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47"/>
      <x:c r="J30" s="34"/>
    </x:row>
  </x:sheetData>
  <x:mergeCells>
    <x:mergeCell ref="A1:J1"/>
    <x:mergeCell ref="A2:J2"/>
  </x:mergeCells>
  <x:conditionalFormatting sqref="D5:D30">
    <x:cfRule type="containsText" dxfId="4" priority="1" operator="containsText" text="Unsuppor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7" hidden="0" customWidth="1"/>
    <x:col min="4" max="4" width="55" hidden="0" customWidth="1"/>
  </x:cols>
  <x:sheetData>
    <x:row r="1" ht="30" customHeight="1">
      <x:c r="A1" s="33" t="str">
        <x:v>Source Register</x:v>
      </x:c>
      <x:c r="B1" s="34"/>
      <x:c r="C1" s="34"/>
      <x:c r="D1" s="34"/>
    </x:row>
    <x:row r="2">
      <x:c r="A2" s="35" t="str">
        <x:v>Use these IDs in presentation speaker notes and the source-to-slide workbook.</x:v>
      </x:c>
      <x:c r="B2" s="34"/>
      <x:c r="C2" s="34"/>
      <x:c r="D2" s="34"/>
    </x:row>
    <x:row r="3">
      <x:c r="A3" s="34"/>
      <x:c r="B3" s="34"/>
      <x:c r="C3" s="34"/>
      <x:c r="D3" s="34"/>
    </x:row>
    <x:row r="4" ht="34" customHeight="1">
      <x:c r="A4" s="36" t="str">
        <x:v>Source ID</x:v>
      </x:c>
      <x:c r="B4" s="36" t="str">
        <x:v>Source</x:v>
      </x:c>
      <x:c r="C4" s="36" t="str">
        <x:v>Effective date</x:v>
      </x:c>
      <x:c r="D4" s="36" t="str">
        <x:v>Authority / use</x:v>
      </x:c>
    </x:row>
    <x:row r="5" ht="42" customHeight="1">
      <x:c r="A5" s="37" t="str">
        <x:v>NS-01</x:v>
      </x:c>
      <x:c r="B5" s="37" t="str">
        <x:v>Project Brief v1.0</x:v>
      </x:c>
      <x:c r="C5" s="46" t="n">
        <x:v>46254</x:v>
      </x:c>
      <x:c r="D5" s="37" t="str">
        <x:v>Scope, targets, baseline launch date, budget and release gates</x:v>
      </x:c>
    </x:row>
    <x:row r="6" ht="42" customHeight="1">
      <x:c r="A6" s="37" t="str">
        <x:v>NS-02</x:v>
      </x:c>
      <x:c r="B6" s="37" t="str">
        <x:v>Readiness Tracker</x:v>
      </x:c>
      <x:c r="C6" s="46" t="n">
        <x:v>46260</x:v>
      </x:c>
      <x:c r="D6" s="37" t="str">
        <x:v>Current readiness metrics, risks and forecast spend</x:v>
      </x:c>
    </x:row>
    <x:row r="7" ht="42" customHeight="1">
      <x:c r="A7" s="37" t="str">
        <x:v>NS-03</x:v>
      </x:c>
      <x:c r="B7" s="37" t="str">
        <x:v>Readiness Review Notes</x:v>
      </x:c>
      <x:c r="C7" s="46" t="n">
        <x:v>46259</x:v>
      </x:c>
      <x:c r="D7" s="37" t="str">
        <x:v>Statements, proposals, actions and unresolved items</x:v>
      </x:c>
    </x:row>
    <x:row r="8" ht="42" customHeight="1">
      <x:c r="A8" s="37" t="str">
        <x:v>NS-04</x:v>
      </x:c>
      <x:c r="B8" s="37" t="str">
        <x:v>Change Notice CN-NS-014</x:v>
      </x:c>
      <x:c r="C8" s="46" t="n">
        <x:v>46261</x:v>
      </x:c>
      <x:c r="D8" s="37" t="str">
        <x:v>Overrides the proposed launch-date field only</x:v>
      </x:c>
    </x:row>
  </x:sheetData>
  <x:mergeCells>
    <x:mergeCell ref="A1:D1"/>
    <x:mergeCell ref="A2:D2"/>
  </x:mergeCells>
  <x:pageMargins left="0.7" right="0.7" top="0.75" bottom="0.75" header="0.3" footer="0.3"/>
</x:worksheet>
</file>