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bc69282b3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Truth" sheetId="1" r:id="R9858a4b0332f4039"/>
    <x:sheet xmlns:r="http://schemas.openxmlformats.org/officeDocument/2006/relationships" name="Source Expectations" sheetId="2" r:id="R9baad97bc742419c"/>
    <x:sheet xmlns:r="http://schemas.openxmlformats.org/officeDocument/2006/relationships" name="One Change Test" sheetId="3" r:id="R0a8d6d4b52774542"/>
    <x:sheet xmlns:r="http://schemas.openxmlformats.org/officeDocument/2006/relationships" name="Trainer Scorecard" sheetId="4" r:id="R643da293e953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df8e02287401d" /><Relationship Type="http://schemas.openxmlformats.org/officeDocument/2006/relationships/theme" Target="/xl/theme/theme1.xml" Id="R0767fb3345f14f55" /><Relationship Type="http://schemas.openxmlformats.org/officeDocument/2006/relationships/sharedStrings" Target="/xl/sharedStrings.xml" Id="Rfd010937ea484cf5" /><Relationship Type="http://schemas.openxmlformats.org/officeDocument/2006/relationships/worksheet" Target="/xl/worksheets/sheet1.xml" Id="R9858a4b0332f4039" /><Relationship Type="http://schemas.openxmlformats.org/officeDocument/2006/relationships/worksheet" Target="/xl/worksheets/sheet2.xml" Id="R9baad97bc742419c" /><Relationship Type="http://schemas.openxmlformats.org/officeDocument/2006/relationships/worksheet" Target="/xl/worksheets/sheet3.xml" Id="R0a8d6d4b52774542" /><Relationship Type="http://schemas.openxmlformats.org/officeDocument/2006/relationships/worksheet" Target="/xl/worksheets/sheet4.xml" Id="R643da293e953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42" hidden="0" customWidth="1"/>
    <x:col min="4" max="4" width="54" hidden="0" customWidth="1"/>
    <x:col min="5" max="5" width="40" hidden="0" customWidth="1"/>
  </x:cols>
  <x:sheetData>
    <x:row r="1" ht="34" customHeight="1">
      <x:c r="A1" s="47" t="str">
        <x:v>Lab 11 - Expected Extraction Results</x:v>
      </x:c>
      <x:c r="B1" s="47"/>
      <x:c r="C1" s="47"/>
      <x:c r="D1" s="47"/>
      <x:c r="E1" s="47"/>
    </x:row>
    <x:row r="2" ht="34" customHeight="1">
      <x:c r="A2" s="48" t="str">
        <x:v>Trainer reference. Use after the participants complete their blind first pass.</x:v>
      </x:c>
      <x:c r="B2" s="48"/>
      <x:c r="C2" s="48"/>
      <x:c r="D2" s="48"/>
      <x:c r="E2" s="48"/>
    </x:row>
    <x:row r="3">
      <x:c r="A3" s="49"/>
      <x:c r="B3" s="49"/>
      <x:c r="C3" s="49"/>
      <x:c r="D3" s="49"/>
      <x:c r="E3" s="49"/>
    </x:row>
    <x:row r="4" ht="42" customHeight="1">
      <x:c r="A4" s="50" t="str">
        <x:v>Field</x:v>
      </x:c>
      <x:c r="B4" s="51" t="str">
        <x:v>Authoritative Value</x:v>
      </x:c>
      <x:c r="C4" s="51" t="str">
        <x:v>Authority</x:v>
      </x:c>
      <x:c r="D4" s="51" t="str">
        <x:v>Release Rule</x:v>
      </x:c>
      <x:c r="E4" s="52" t="str">
        <x:v>Risk if wrong</x:v>
      </x:c>
    </x:row>
    <x:row r="5" ht="48" customHeight="1">
      <x:c r="A5" s="53" t="str">
        <x:v>Request ID</x:v>
      </x:c>
      <x:c r="B5" s="54" t="str">
        <x:v>AR-2048</x:v>
      </x:c>
      <x:c r="C5" s="54" t="str">
        <x:v>01 Project Nova Control Text PDF</x:v>
      </x:c>
      <x:c r="D5" s="54" t="str">
        <x:v>Human verification required</x:v>
      </x:c>
      <x:c r="E5" s="55" t="str">
        <x:v>Wrong record or allocation</x:v>
      </x:c>
    </x:row>
    <x:row r="6" ht="48" customHeight="1">
      <x:c r="A6" s="56" t="str">
        <x:v>Requester</x:v>
      </x:c>
      <x:c r="B6" s="57" t="str">
        <x:v>Mika Olsen</x:v>
      </x:c>
      <x:c r="C6" s="57" t="str">
        <x:v>01 Project Nova Control Text PDF</x:v>
      </x:c>
      <x:c r="D6" s="57" t="str">
        <x:v>Human verification required</x:v>
      </x:c>
      <x:c r="E6" s="58" t="str">
        <x:v>Business-record inaccuracy</x:v>
      </x:c>
    </x:row>
    <x:row r="7" ht="48" customHeight="1">
      <x:c r="A7" s="56" t="str">
        <x:v>Business unit</x:v>
      </x:c>
      <x:c r="B7" s="57" t="str">
        <x:v>Finance Operations</x:v>
      </x:c>
      <x:c r="C7" s="57" t="str">
        <x:v>01 Project Nova Control Text PDF</x:v>
      </x:c>
      <x:c r="D7" s="57" t="str">
        <x:v>Human verification required</x:v>
      </x:c>
      <x:c r="E7" s="58" t="str">
        <x:v>Business-record inaccuracy</x:v>
      </x:c>
    </x:row>
    <x:row r="8" ht="48" customHeight="1">
      <x:c r="A8" s="56" t="str">
        <x:v>Access type</x:v>
      </x:c>
      <x:c r="B8" s="57" t="str">
        <x:v>FinanceHub Approver</x:v>
      </x:c>
      <x:c r="C8" s="57" t="str">
        <x:v>01 Project Nova Control Text PDF</x:v>
      </x:c>
      <x:c r="D8" s="57" t="str">
        <x:v>Human verification required</x:v>
      </x:c>
      <x:c r="E8" s="58" t="str">
        <x:v>Business-record inaccuracy</x:v>
      </x:c>
    </x:row>
    <x:row r="9" ht="48" customHeight="1">
      <x:c r="A9" s="56" t="str">
        <x:v>Environment</x:v>
      </x:c>
      <x:c r="B9" s="57" t="str">
        <x:v>Production</x:v>
      </x:c>
      <x:c r="C9" s="57" t="str">
        <x:v>01 Project Nova Control Text PDF</x:v>
      </x:c>
      <x:c r="D9" s="57" t="str">
        <x:v>Human verification required</x:v>
      </x:c>
      <x:c r="E9" s="58" t="str">
        <x:v>Business-record inaccuracy</x:v>
      </x:c>
    </x:row>
    <x:row r="10" ht="48" customHeight="1">
      <x:c r="A10" s="56" t="str">
        <x:v>Effective date</x:v>
      </x:c>
      <x:c r="B10" s="57" t="str">
        <x:v>2026-09-15</x:v>
      </x:c>
      <x:c r="C10" s="57" t="str">
        <x:v>01 Project Nova Control Text PDF</x:v>
      </x:c>
      <x:c r="D10" s="57" t="str">
        <x:v>Human verification required</x:v>
      </x:c>
      <x:c r="E10" s="58" t="str">
        <x:v>Wrong access period</x:v>
      </x:c>
    </x:row>
    <x:row r="11" ht="48" customHeight="1">
      <x:c r="A11" s="56" t="str">
        <x:v>End date</x:v>
      </x:c>
      <x:c r="B11" s="57" t="str">
        <x:v>2026-12-31</x:v>
      </x:c>
      <x:c r="C11" s="57" t="str">
        <x:v>01 Project Nova Control Text PDF</x:v>
      </x:c>
      <x:c r="D11" s="57" t="str">
        <x:v>Human verification required</x:v>
      </x:c>
      <x:c r="E11" s="58" t="str">
        <x:v>Wrong access period</x:v>
      </x:c>
    </x:row>
    <x:row r="12" ht="48" customHeight="1">
      <x:c r="A12" s="56" t="str">
        <x:v>Cost centre</x:v>
      </x:c>
      <x:c r="B12" s="57" t="str">
        <x:v>CC-4710</x:v>
      </x:c>
      <x:c r="C12" s="57" t="str">
        <x:v>01 Project Nova Control Text PDF</x:v>
      </x:c>
      <x:c r="D12" s="57" t="str">
        <x:v>Human verification required</x:v>
      </x:c>
      <x:c r="E12" s="58" t="str">
        <x:v>Wrong record or allocation</x:v>
      </x:c>
    </x:row>
    <x:row r="13" ht="48" customHeight="1">
      <x:c r="A13" s="56" t="str">
        <x:v>Licence cost</x:v>
      </x:c>
      <x:c r="B13" s="57" t="str">
        <x:v>EUR 1,250.00</x:v>
      </x:c>
      <x:c r="C13" s="57" t="str">
        <x:v>01 Project Nova Control Text PDF</x:v>
      </x:c>
      <x:c r="D13" s="57" t="str">
        <x:v>Human verification required</x:v>
      </x:c>
      <x:c r="E13" s="58" t="str">
        <x:v>Business-record inaccuracy</x:v>
      </x:c>
    </x:row>
    <x:row r="14" ht="48" customHeight="1">
      <x:c r="A14" s="56" t="str">
        <x:v>Approver</x:v>
      </x:c>
      <x:c r="B14" s="57" t="str">
        <x:v>Priya Nair</x:v>
      </x:c>
      <x:c r="C14" s="57" t="str">
        <x:v>01 Project Nova Control Text PDF</x:v>
      </x:c>
      <x:c r="D14" s="57" t="str">
        <x:v>Human verification required</x:v>
      </x:c>
      <x:c r="E14" s="58" t="str">
        <x:v>False approval state</x:v>
      </x:c>
    </x:row>
    <x:row r="15" ht="48" customHeight="1">
      <x:c r="A15" s="56" t="str">
        <x:v>Status</x:v>
      </x:c>
      <x:c r="B15" s="57" t="str">
        <x:v>Approved with conditions</x:v>
      </x:c>
      <x:c r="C15" s="57" t="str">
        <x:v>01 Project Nova Control Text PDF</x:v>
      </x:c>
      <x:c r="D15" s="57" t="str">
        <x:v>Human verification required</x:v>
      </x:c>
      <x:c r="E15" s="58" t="str">
        <x:v>False approval state</x:v>
      </x:c>
    </x:row>
    <x:row r="16" ht="48" customHeight="1">
      <x:c r="A16" s="56" t="str">
        <x:v>Manager approval</x:v>
      </x:c>
      <x:c r="B16" s="57" t="str">
        <x:v>Yes</x:v>
      </x:c>
      <x:c r="C16" s="57" t="str">
        <x:v>01 Project Nova Control Text PDF</x:v>
      </x:c>
      <x:c r="D16" s="57" t="str">
        <x:v>Human verification required</x:v>
      </x:c>
      <x:c r="E16" s="58" t="str">
        <x:v>Business-record inaccuracy</x:v>
      </x:c>
    </x:row>
    <x:row r="17" ht="48" customHeight="1">
      <x:c r="A17" s="56" t="str">
        <x:v>Security approval</x:v>
      </x:c>
      <x:c r="B17" s="57" t="str">
        <x:v>Yes</x:v>
      </x:c>
      <x:c r="C17" s="57" t="str">
        <x:v>01 Project Nova Control Text PDF</x:v>
      </x:c>
      <x:c r="D17" s="57" t="str">
        <x:v>Human verification required</x:v>
      </x:c>
      <x:c r="E17" s="58" t="str">
        <x:v>Business-record inaccuracy</x:v>
      </x:c>
    </x:row>
    <x:row r="18" ht="48" customHeight="1">
      <x:c r="A18" s="56" t="str">
        <x:v>MFA required</x:v>
      </x:c>
      <x:c r="B18" s="57" t="str">
        <x:v>Yes</x:v>
      </x:c>
      <x:c r="C18" s="57" t="str">
        <x:v>01 Project Nova Control Text PDF</x:v>
      </x:c>
      <x:c r="D18" s="57" t="str">
        <x:v>Human verification required</x:v>
      </x:c>
      <x:c r="E18" s="58" t="str">
        <x:v>Business-record inaccuracy</x:v>
      </x:c>
    </x:row>
    <x:row r="19" ht="48" customHeight="1">
      <x:c r="A19" s="56" t="str">
        <x:v>Privileged access</x:v>
      </x:c>
      <x:c r="B19" s="57" t="str">
        <x:v>Yes</x:v>
      </x:c>
      <x:c r="C19" s="57" t="str">
        <x:v>01 Project Nova Control Text PDF</x:v>
      </x:c>
      <x:c r="D19" s="57" t="str">
        <x:v>Human verification required</x:v>
      </x:c>
      <x:c r="E19" s="58" t="str">
        <x:v>Business-record inaccuracy</x:v>
      </x:c>
    </x:row>
    <x:row r="20" ht="48" customHeight="1">
      <x:c r="A20" s="59" t="str">
        <x:v>Handwritten proposed end date</x:v>
      </x:c>
      <x:c r="B20" s="60" t="str">
        <x:v>Not confirmed</x:v>
      </x:c>
      <x:c r="C20" s="60" t="str">
        <x:v>Handwritten proposal only</x:v>
      </x:c>
      <x:c r="D20" s="60" t="str">
        <x:v>Do not release without Priya Nair confirmation</x:v>
      </x:c>
      <x:c r="E20" s="61" t="str">
        <x:v>Business-record inaccuracy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48" hidden="0" customWidth="1"/>
    <x:col min="4" max="4" width="32" hidden="0" customWidth="1"/>
    <x:col min="5" max="5" width="46" hidden="0" customWidth="1"/>
    <x:col min="6" max="6" width="18" hidden="0" customWidth="1"/>
    <x:col min="7" max="7" width="28" hidden="0" customWidth="1"/>
    <x:col min="8" max="8" width="42" hidden="0" customWidth="1"/>
  </x:cols>
  <x:sheetData>
    <x:row r="1" ht="34" customHeight="1">
      <x:c r="A1" s="47" t="str">
        <x:v>Source Expectations</x:v>
      </x:c>
      <x:c r="B1" s="47"/>
      <x:c r="C1" s="47"/>
      <x:c r="D1" s="47"/>
      <x:c r="E1" s="47"/>
      <x:c r="F1" s="47"/>
      <x:c r="G1" s="47"/>
      <x:c r="H1" s="47"/>
    </x:row>
    <x:row r="2" ht="34" customHeight="1">
      <x:c r="A2" s="48" t="str">
        <x:v>A supported file can still produce unsafe extraction. Evaluate the exact failure mode, not only whether Copilot returned an answer.</x:v>
      </x:c>
      <x:c r="B2" s="48"/>
      <x:c r="C2" s="48"/>
      <x:c r="D2" s="48"/>
      <x:c r="E2" s="48"/>
      <x:c r="F2" s="48"/>
      <x:c r="G2" s="48"/>
      <x:c r="H2" s="48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 ht="42" customHeight="1">
      <x:c r="A4" s="50" t="str">
        <x:v>Source</x:v>
      </x:c>
      <x:c r="B4" s="51" t="str">
        <x:v>Expected challenge</x:v>
      </x:c>
      <x:c r="C4" s="51" t="str">
        <x:v>Fields at risk</x:v>
      </x:c>
      <x:c r="D4" s="51" t="str">
        <x:v>Correct evidence status</x:v>
      </x:c>
      <x:c r="E4" s="51" t="str">
        <x:v>Human treatment</x:v>
      </x:c>
      <x:c r="F4" s="51" t="str">
        <x:v>May auto-release?</x:v>
      </x:c>
      <x:c r="G4" s="51" t="str">
        <x:v>Controlled test role</x:v>
      </x:c>
      <x:c r="H4" s="52" t="str">
        <x:v>Trainer note</x:v>
      </x:c>
    </x:row>
    <x:row r="5" ht="62" customHeight="1">
      <x:c r="A5" s="53" t="str">
        <x:v>01 Control PDF</x:v>
      </x:c>
      <x:c r="B5" s="54" t="str">
        <x:v>None; text control</x:v>
      </x:c>
      <x:c r="C5" s="54" t="str">
        <x:v>None</x:v>
      </x:c>
      <x:c r="D5" s="54" t="str">
        <x:v>Confirmed after review</x:v>
      </x:c>
      <x:c r="E5" s="54" t="str">
        <x:v>Use as ground truth</x:v>
      </x:c>
      <x:c r="F5" s="54" t="str">
        <x:v>No</x:v>
      </x:c>
      <x:c r="G5" s="54" t="str">
        <x:v>Control</x:v>
      </x:c>
      <x:c r="H5" s="55" t="str">
        <x:v>Text extraction is not visual verification.</x:v>
      </x:c>
    </x:row>
    <x:row r="6" ht="62" customHeight="1">
      <x:c r="A6" s="56" t="str">
        <x:v>02 Clear scan</x:v>
      </x:c>
      <x:c r="B6" s="57" t="str">
        <x:v>Image-only source</x:v>
      </x:c>
      <x:c r="C6" s="57" t="str">
        <x:v>All fields require comparison</x:v>
      </x:c>
      <x:c r="D6" s="57" t="str">
        <x:v>Confirmed after review</x:v>
      </x:c>
      <x:c r="E6" s="57" t="str">
        <x:v>Verify character by character</x:v>
      </x:c>
      <x:c r="F6" s="57" t="str">
        <x:v>No</x:v>
      </x:c>
      <x:c r="G6" s="57" t="str">
        <x:v>Clean baseline</x:v>
      </x:c>
      <x:c r="H6" s="58" t="str">
        <x:v>Support does not equal approval.</x:v>
      </x:c>
    </x:row>
    <x:row r="7" ht="62" customHeight="1">
      <x:c r="A7" s="56" t="str">
        <x:v>03 Low-resolution</x:v>
      </x:c>
      <x:c r="B7" s="57" t="str">
        <x:v>Blur and compression</x:v>
      </x:c>
      <x:c r="C7" s="57" t="str">
        <x:v>AR-2048; CC-4710; EUR 1,250.00; dates</x:v>
      </x:c>
      <x:c r="D7" s="57" t="str">
        <x:v>Not confirmed if characters differ</x:v>
      </x:c>
      <x:c r="E7" s="57" t="str">
        <x:v>Hold mismatches</x:v>
      </x:c>
      <x:c r="F7" s="57" t="str">
        <x:v>No</x:v>
      </x:c>
      <x:c r="G7" s="57" t="str">
        <x:v>Poor-quality baseline</x:v>
      </x:c>
      <x:c r="H7" s="58" t="str">
        <x:v>Watch O/0, I/1 and punctuation.</x:v>
      </x:c>
    </x:row>
    <x:row r="8" ht="62" customHeight="1">
      <x:c r="A8" s="56" t="str">
        <x:v>04 Rotated photo</x:v>
      </x:c>
      <x:c r="B8" s="57" t="str">
        <x:v>Rotation and background</x:v>
      </x:c>
      <x:c r="C8" s="57" t="str">
        <x:v>Any field can be omitted</x:v>
      </x:c>
      <x:c r="D8" s="57" t="str">
        <x:v>Not confirmed for unreadable content</x:v>
      </x:c>
      <x:c r="E8" s="57" t="str">
        <x:v>Record quality issue</x:v>
      </x:c>
      <x:c r="F8" s="57" t="str">
        <x:v>No</x:v>
      </x:c>
      <x:c r="G8" s="57" t="str">
        <x:v>Orientation stress</x:v>
      </x:c>
      <x:c r="H8" s="58" t="str">
        <x:v>Do not improve until after first run.</x:v>
      </x:c>
    </x:row>
    <x:row r="9" ht="62" customHeight="1">
      <x:c r="A9" s="56" t="str">
        <x:v>05 Cropped page</x:v>
      </x:c>
      <x:c r="B9" s="57" t="str">
        <x:v>Lower page absent</x:v>
      </x:c>
      <x:c r="C9" s="57" t="str">
        <x:v>Approver; status; four controls</x:v>
      </x:c>
      <x:c r="D9" s="57" t="str">
        <x:v>Not confirmed</x:v>
      </x:c>
      <x:c r="E9" s="57" t="str">
        <x:v>Do not borrow from another source silently</x:v>
      </x:c>
      <x:c r="F9" s="57" t="str">
        <x:v>No</x:v>
      </x:c>
      <x:c r="G9" s="57" t="str">
        <x:v>Completeness test</x:v>
      </x:c>
      <x:c r="H9" s="58" t="str">
        <x:v>A plausible value is still unsupported.</x:v>
      </x:c>
    </x:row>
    <x:row r="10" ht="62" customHeight="1">
      <x:c r="A10" s="56" t="str">
        <x:v>06 Checkbox form</x:v>
      </x:c>
      <x:c r="B10" s="57" t="str">
        <x:v>Visual selection marks</x:v>
      </x:c>
      <x:c r="C10" s="57" t="str">
        <x:v>Five controls</x:v>
      </x:c>
      <x:c r="D10" s="57" t="str">
        <x:v>Confirmed only after visual explanation</x:v>
      </x:c>
      <x:c r="E10" s="57" t="str">
        <x:v>Human confirms selection</x:v>
      </x:c>
      <x:c r="F10" s="57" t="str">
        <x:v>No</x:v>
      </x:c>
      <x:c r="G10" s="57" t="str">
        <x:v>Visual semantics</x:v>
      </x:c>
      <x:c r="H10" s="58" t="str">
        <x:v>Emergency access is No but not transferred.</x:v>
      </x:c>
    </x:row>
    <x:row r="11" ht="62" customHeight="1">
      <x:c r="A11" s="56" t="str">
        <x:v>07 Handwriting</x:v>
      </x:c>
      <x:c r="B11" s="57" t="str">
        <x:v>Proposed change</x:v>
      </x:c>
      <x:c r="C11" s="57" t="str">
        <x:v>End date</x:v>
      </x:c>
      <x:c r="D11" s="57" t="str">
        <x:v>Proposed / Not confirmed</x:v>
      </x:c>
      <x:c r="E11" s="57" t="str">
        <x:v>Keep approved printed date</x:v>
      </x:c>
      <x:c r="F11" s="57" t="str">
        <x:v>No</x:v>
      </x:c>
      <x:c r="G11" s="57" t="str">
        <x:v>Authority test</x:v>
      </x:c>
      <x:c r="H11" s="58" t="str">
        <x:v>2027-01-15 is not approved.</x:v>
      </x:c>
    </x:row>
    <x:row r="12" ht="62" customHeight="1">
      <x:c r="A12" s="56" t="str">
        <x:v>08 Hybrid PDF</x:v>
      </x:c>
      <x:c r="B12" s="57" t="str">
        <x:v>Text plus stamp/signature</x:v>
      </x:c>
      <x:c r="C12" s="57" t="str">
        <x:v>Approver identity and scope</x:v>
      </x:c>
      <x:c r="D12" s="57" t="str">
        <x:v>Not confirmed for visual identity claims</x:v>
      </x:c>
      <x:c r="E12" s="57" t="str">
        <x:v>Human confirms scope</x:v>
      </x:c>
      <x:c r="F12" s="57" t="str">
        <x:v>No</x:v>
      </x:c>
      <x:c r="G12" s="57" t="str">
        <x:v>Hybrid content</x:v>
      </x:c>
      <x:c r="H12" s="58" t="str">
        <x:v>Do not infer identity from signature.</x:v>
      </x:c>
    </x:row>
    <x:row r="13" ht="62" customHeight="1">
      <x:c r="A13" s="56" t="str">
        <x:v>09 Table photo</x:v>
      </x:c>
      <x:c r="B13" s="57" t="str">
        <x:v>Row association</x:v>
      </x:c>
      <x:c r="C13" s="57" t="str">
        <x:v>Request; requester; access; end date; cost centre; status</x:v>
      </x:c>
      <x:c r="D13" s="57" t="str">
        <x:v>Confirmed after row-level check</x:v>
      </x:c>
      <x:c r="E13" s="57" t="str">
        <x:v>Verify entire AR-2048 row</x:v>
      </x:c>
      <x:c r="F13" s="57" t="str">
        <x:v>No</x:v>
      </x:c>
      <x:c r="G13" s="57" t="str">
        <x:v>Table stress</x:v>
      </x:c>
      <x:c r="H13" s="58" t="str">
        <x:v>Nearby rows contain similar digits.</x:v>
      </x:c>
    </x:row>
    <x:row r="14" ht="62" customHeight="1">
      <x:c r="A14" s="59" t="str">
        <x:v>10 Improved replacement</x:v>
      </x:c>
      <x:c r="B14" s="60" t="str">
        <x:v>Cleaner single replacement</x:v>
      </x:c>
      <x:c r="C14" s="60" t="str">
        <x:v>Same fields as S03</x:v>
      </x:c>
      <x:c r="D14" s="60" t="str">
        <x:v>Confirmed after review</x:v>
      </x:c>
      <x:c r="E14" s="60" t="str">
        <x:v>Compare only against S03</x:v>
      </x:c>
      <x:c r="F14" s="60" t="str">
        <x:v>No</x:v>
      </x:c>
      <x:c r="G14" s="60" t="str">
        <x:v>One-input-change test</x:v>
      </x:c>
      <x:c r="H14" s="61" t="str">
        <x:v>Other sources must remain unchanged.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52" hidden="0" customWidth="1"/>
    <x:col min="5" max="5" width="52" hidden="0" customWidth="1"/>
    <x:col min="6" max="6" width="44" hidden="0" customWidth="1"/>
    <x:col min="7" max="7" width="16" hidden="0" customWidth="1"/>
  </x:cols>
  <x:sheetData>
    <x:row r="1" ht="34" customHeight="1">
      <x:c r="A1" s="47" t="str">
        <x:v>One-Input-Change Test</x:v>
      </x:c>
      <x:c r="B1" s="47"/>
      <x:c r="C1" s="47"/>
      <x:c r="D1" s="47"/>
      <x:c r="E1" s="47"/>
      <x:c r="F1" s="47"/>
      <x:c r="G1" s="47"/>
    </x:row>
    <x:row r="2" ht="34" customHeight="1">
      <x:c r="A2" s="48" t="str">
        <x:v>Replace only the low-resolution scan. Predict and verify exactly which outputs may change.</x:v>
      </x:c>
      <x:c r="B2" s="48"/>
      <x:c r="C2" s="48"/>
      <x:c r="D2" s="48"/>
      <x:c r="E2" s="48"/>
      <x:c r="F2" s="48"/>
      <x:c r="G2" s="48"/>
    </x:row>
    <x:row r="3">
      <x:c r="A3" s="49"/>
      <x:c r="B3" s="49"/>
      <x:c r="C3" s="49"/>
      <x:c r="D3" s="49"/>
      <x:c r="E3" s="49"/>
      <x:c r="F3" s="49"/>
      <x:c r="G3" s="49"/>
    </x:row>
    <x:row r="4" ht="42" customHeight="1">
      <x:c r="A4" s="50" t="str">
        <x:v>Item</x:v>
      </x:c>
      <x:c r="B4" s="51" t="str">
        <x:v>Before source</x:v>
      </x:c>
      <x:c r="C4" s="51" t="str">
        <x:v>After source</x:v>
      </x:c>
      <x:c r="D4" s="51" t="str">
        <x:v>Expected change</x:v>
      </x:c>
      <x:c r="E4" s="51" t="str">
        <x:v>Must not change</x:v>
      </x:c>
      <x:c r="F4" s="51" t="str">
        <x:v>Observed</x:v>
      </x:c>
      <x:c r="G4" s="52" t="str">
        <x:v>Pass?</x:v>
      </x:c>
    </x:row>
    <x:row r="5" ht="58" customHeight="1">
      <x:c r="A5" s="53" t="str">
        <x:v>Request ID</x:v>
      </x:c>
      <x:c r="B5" s="54" t="str">
        <x:v>03 Low-resolution</x:v>
      </x:c>
      <x:c r="C5" s="54" t="str">
        <x:v>10 Improved replacement</x:v>
      </x:c>
      <x:c r="D5" s="54" t="str">
        <x:v>Confidence and exact text may improve to AR-2048</x:v>
      </x:c>
      <x:c r="E5" s="54" t="str">
        <x:v>Any other source result</x:v>
      </x:c>
      <x:c r="F5" s="54" t="str"/>
      <x:c r="G5" s="55" t="str">
        <x:v>Not run</x:v>
      </x:c>
    </x:row>
    <x:row r="6" ht="58" customHeight="1">
      <x:c r="A6" s="56" t="str">
        <x:v>Cost centre</x:v>
      </x:c>
      <x:c r="B6" s="57" t="str">
        <x:v>03 Low-resolution</x:v>
      </x:c>
      <x:c r="C6" s="57" t="str">
        <x:v>10 Improved replacement</x:v>
      </x:c>
      <x:c r="D6" s="57" t="str">
        <x:v>Confidence and exact text may improve to CC-4710</x:v>
      </x:c>
      <x:c r="E6" s="57" t="str">
        <x:v>Any other source result</x:v>
      </x:c>
      <x:c r="F6" s="57" t="str"/>
      <x:c r="G6" s="58" t="str">
        <x:v>Not run</x:v>
      </x:c>
    </x:row>
    <x:row r="7" ht="58" customHeight="1">
      <x:c r="A7" s="56" t="str">
        <x:v>Licence cost</x:v>
      </x:c>
      <x:c r="B7" s="57" t="str">
        <x:v>03 Low-resolution</x:v>
      </x:c>
      <x:c r="C7" s="57" t="str">
        <x:v>10 Improved replacement</x:v>
      </x:c>
      <x:c r="D7" s="57" t="str">
        <x:v>Punctuation/decimal confidence may improve</x:v>
      </x:c>
      <x:c r="E7" s="57" t="str">
        <x:v>Approved business record until human review</x:v>
      </x:c>
      <x:c r="F7" s="57" t="str"/>
      <x:c r="G7" s="58" t="str">
        <x:v>Not run</x:v>
      </x:c>
    </x:row>
    <x:row r="8" ht="58" customHeight="1">
      <x:c r="A8" s="56" t="str">
        <x:v>Dates</x:v>
      </x:c>
      <x:c r="B8" s="57" t="str">
        <x:v>03 Low-resolution</x:v>
      </x:c>
      <x:c r="C8" s="57" t="str">
        <x:v>10 Improved replacement</x:v>
      </x:c>
      <x:c r="D8" s="57" t="str">
        <x:v>Character confidence may improve</x:v>
      </x:c>
      <x:c r="E8" s="57" t="str">
        <x:v>Handwritten proposal status</x:v>
      </x:c>
      <x:c r="F8" s="57" t="str"/>
      <x:c r="G8" s="58" t="str">
        <x:v>Not run</x:v>
      </x:c>
    </x:row>
    <x:row r="9" ht="58" customHeight="1">
      <x:c r="A9" s="56" t="str">
        <x:v>Review history</x:v>
      </x:c>
      <x:c r="B9" s="57" t="str">
        <x:v>03 Low-resolution</x:v>
      </x:c>
      <x:c r="C9" s="57" t="str">
        <x:v>10 Improved replacement</x:v>
      </x:c>
      <x:c r="D9" s="57" t="str">
        <x:v>New comparison row or audit entry</x:v>
      </x:c>
      <x:c r="E9" s="57" t="str">
        <x:v>Original S03 evidence</x:v>
      </x:c>
      <x:c r="F9" s="57" t="str"/>
      <x:c r="G9" s="58" t="str">
        <x:v>Not run</x:v>
      </x:c>
    </x:row>
    <x:row r="10" ht="58" customHeight="1">
      <x:c r="A10" s="59" t="str">
        <x:v>Overall</x:v>
      </x:c>
      <x:c r="B10" s="60" t="str">
        <x:v>One source changed</x:v>
      </x:c>
      <x:c r="C10" s="60" t="str">
        <x:v>One source changed</x:v>
      </x:c>
      <x:c r="D10" s="60" t="str">
        <x:v>Only linked outputs change</x:v>
      </x:c>
      <x:c r="E10" s="60" t="str">
        <x:v>All unrelated fields, sources and approvals</x:v>
      </x:c>
      <x:c r="F10" s="60" t="str"/>
      <x:c r="G10" s="61" t="str">
        <x:v>Not run</x:v>
      </x:c>
    </x:row>
  </x:sheetData>
  <x:mergeCells>
    <x:mergeCell ref="A1:G1"/>
    <x:mergeCell ref="A2:G2"/>
  </x:mergeCells>
  <x:dataValidations count="1">
    <x:dataValidation type="list" sqref="G5:G10">
      <x:formula1>"Not run,Pass,Review,Fail"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34" hidden="0" customWidth="1"/>
    <x:col min="4" max="4" width="38" hidden="0" customWidth="1"/>
    <x:col min="5" max="5" width="46" hidden="0" customWidth="1"/>
    <x:col min="6" max="6" width="12" hidden="0" customWidth="1"/>
    <x:col min="7" max="7" width="16" hidden="0" customWidth="1"/>
    <x:col min="8" max="8" width="42" hidden="0" customWidth="1"/>
  </x:cols>
  <x:sheetData>
    <x:row r="1" ht="34" customHeight="1">
      <x:c r="A1" s="47" t="str">
        <x:v>Trainer Scorecard</x:v>
      </x:c>
      <x:c r="B1" s="47"/>
      <x:c r="C1" s="47"/>
      <x:c r="D1" s="47"/>
      <x:c r="E1" s="47"/>
      <x:c r="F1" s="47"/>
      <x:c r="G1" s="47"/>
      <x:c r="H1" s="47"/>
    </x:row>
    <x:row r="2" ht="34" customHeight="1">
      <x:c r="A2" s="48" t="str">
        <x:v>Score evidence discipline, not merely extraction volume.</x:v>
      </x:c>
      <x:c r="B2" s="48"/>
      <x:c r="C2" s="48"/>
      <x:c r="D2" s="48"/>
      <x:c r="E2" s="48"/>
      <x:c r="F2" s="48"/>
      <x:c r="G2" s="48"/>
      <x:c r="H2" s="48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 ht="42" customHeight="1">
      <x:c r="A4" s="50" t="str">
        <x:v>Criterion</x:v>
      </x:c>
      <x:c r="B4" s="51" t="str">
        <x:v>Weight</x:v>
      </x:c>
      <x:c r="C4" s="51" t="str">
        <x:v>0 - Unsafe</x:v>
      </x:c>
      <x:c r="D4" s="51" t="str">
        <x:v>1 - Partial</x:v>
      </x:c>
      <x:c r="E4" s="51" t="str">
        <x:v>2 - Controlled</x:v>
      </x:c>
      <x:c r="F4" s="51" t="str">
        <x:v>Score</x:v>
      </x:c>
      <x:c r="G4" s="51" t="str">
        <x:v>Weighted</x:v>
      </x:c>
      <x:c r="H4" s="52" t="str">
        <x:v>Notes</x:v>
      </x:c>
    </x:row>
    <x:row r="5" ht="56" customHeight="1">
      <x:c r="A5" s="53" t="str">
        <x:v>Image quality recorded</x:v>
      </x:c>
      <x:c r="B5" s="54" t="n">
        <x:v>1</x:v>
      </x:c>
      <x:c r="C5" s="54" t="str">
        <x:v>Ignored</x:v>
      </x:c>
      <x:c r="D5" s="54" t="str">
        <x:v>Some issues noted</x:v>
      </x:c>
      <x:c r="E5" s="54" t="str">
        <x:v>Every source quality issue recorded</x:v>
      </x:c>
      <x:c r="F5" s="54" t="n">
        <x:v>0</x:v>
      </x:c>
      <x:c r="G5" s="54" t="n">
        <x:f>B5*F5</x:f>
        <x:v>0</x:v>
      </x:c>
      <x:c r="H5" s="55" t="str"/>
    </x:row>
    <x:row r="6" ht="56" customHeight="1">
      <x:c r="A6" s="56" t="str">
        <x:v>Missing content handled</x:v>
      </x:c>
      <x:c r="B6" s="57" t="n">
        <x:v>2</x:v>
      </x:c>
      <x:c r="C6" s="57" t="str">
        <x:v>Guessed</x:v>
      </x:c>
      <x:c r="D6" s="57" t="str">
        <x:v>Some Not confirmed labels</x:v>
      </x:c>
      <x:c r="E6" s="57" t="str">
        <x:v>All absent/unclear fields held</x:v>
      </x:c>
      <x:c r="F6" s="57" t="n">
        <x:v>0</x:v>
      </x:c>
      <x:c r="G6" s="57" t="n">
        <x:f>B6*F6</x:f>
        <x:v>0</x:v>
      </x:c>
      <x:c r="H6" s="58" t="str"/>
    </x:row>
    <x:row r="7" ht="56" customHeight="1">
      <x:c r="A7" s="56" t="str">
        <x:v>Exact accuracy checked</x:v>
      </x:c>
      <x:c r="B7" s="57" t="n">
        <x:v>2</x:v>
      </x:c>
      <x:c r="C7" s="57" t="str">
        <x:v>No comparison</x:v>
      </x:c>
      <x:c r="D7" s="57" t="str">
        <x:v>Spot checks only</x:v>
      </x:c>
      <x:c r="E7" s="57" t="str">
        <x:v>All material fields compared exactly</x:v>
      </x:c>
      <x:c r="F7" s="57" t="n">
        <x:v>0</x:v>
      </x:c>
      <x:c r="G7" s="57" t="n">
        <x:f>B7*F7</x:f>
        <x:v>0</x:v>
      </x:c>
      <x:c r="H7" s="58" t="str"/>
    </x:row>
    <x:row r="8" ht="56" customHeight="1">
      <x:c r="A8" s="56" t="str">
        <x:v>Ground truth named</x:v>
      </x:c>
      <x:c r="B8" s="57" t="n">
        <x:v>2</x:v>
      </x:c>
      <x:c r="C8" s="57" t="str">
        <x:v>No authority</x:v>
      </x:c>
      <x:c r="D8" s="57" t="str">
        <x:v>Generic source reference</x:v>
      </x:c>
      <x:c r="E8" s="57" t="str">
        <x:v>Precise source and location</x:v>
      </x:c>
      <x:c r="F8" s="57" t="n">
        <x:v>0</x:v>
      </x:c>
      <x:c r="G8" s="57" t="n">
        <x:f>B8*F8</x:f>
        <x:v>0</x:v>
      </x:c>
      <x:c r="H8" s="58" t="str"/>
    </x:row>
    <x:row r="9" ht="56" customHeight="1">
      <x:c r="A9" s="56" t="str">
        <x:v>Human escalation</x:v>
      </x:c>
      <x:c r="B9" s="57" t="n">
        <x:v>2</x:v>
      </x:c>
      <x:c r="C9" s="57" t="str">
        <x:v>Automatic transfer</x:v>
      </x:c>
      <x:c r="D9" s="57" t="str">
        <x:v>Reviewer mentioned</x:v>
      </x:c>
      <x:c r="E9" s="57" t="str">
        <x:v>Named approval and stop conditions</x:v>
      </x:c>
      <x:c r="F9" s="57" t="n">
        <x:v>0</x:v>
      </x:c>
      <x:c r="G9" s="57" t="n">
        <x:f>B9*F9</x:f>
        <x:v>0</x:v>
      </x:c>
      <x:c r="H9" s="58" t="str"/>
    </x:row>
    <x:row r="10" ht="56" customHeight="1">
      <x:c r="A10" s="56" t="str">
        <x:v>No manual copying</x:v>
      </x:c>
      <x:c r="B10" s="57" t="n">
        <x:v>1</x:v>
      </x:c>
      <x:c r="C10" s="57" t="str">
        <x:v>Rows manually transferred</x:v>
      </x:c>
      <x:c r="D10" s="57" t="str">
        <x:v>Mixed process</x:v>
      </x:c>
      <x:c r="E10" s="57" t="str">
        <x:v>Direct edit or structured import only</x:v>
      </x:c>
      <x:c r="F10" s="57" t="n">
        <x:v>0</x:v>
      </x:c>
      <x:c r="G10" s="57" t="n">
        <x:f>B10*F10</x:f>
        <x:v>0</x:v>
      </x:c>
      <x:c r="H10" s="58" t="str"/>
    </x:row>
    <x:row r="11" ht="56" customHeight="1">
      <x:c r="A11" s="56" t="str">
        <x:v>One-change control</x:v>
      </x:c>
      <x:c r="B11" s="57" t="n">
        <x:v>2</x:v>
      </x:c>
      <x:c r="C11" s="57" t="str">
        <x:v>Many fields changed</x:v>
      </x:c>
      <x:c r="D11" s="57" t="str">
        <x:v>Comparison incomplete</x:v>
      </x:c>
      <x:c r="E11" s="57" t="str">
        <x:v>Only affected outputs changed</x:v>
      </x:c>
      <x:c r="F11" s="57" t="n">
        <x:v>0</x:v>
      </x:c>
      <x:c r="G11" s="57" t="n">
        <x:f>B11*F11</x:f>
        <x:v>0</x:v>
      </x:c>
      <x:c r="H11" s="58" t="str"/>
    </x:row>
    <x:row r="12" ht="56" customHeight="1">
      <x:c r="A12" s="59" t="str">
        <x:v>Audit retained</x:v>
      </x:c>
      <x:c r="B12" s="60" t="n">
        <x:v>1</x:v>
      </x:c>
      <x:c r="C12" s="60" t="str">
        <x:v>Original overwritten</x:v>
      </x:c>
      <x:c r="D12" s="60" t="str">
        <x:v>Partial history</x:v>
      </x:c>
      <x:c r="E12" s="60" t="str">
        <x:v>Before, extraction, approval and final value retained</x:v>
      </x:c>
      <x:c r="F12" s="60" t="n">
        <x:v>0</x:v>
      </x:c>
      <x:c r="G12" s="60" t="n">
        <x:f>B12*F12</x:f>
        <x:v>0</x:v>
      </x:c>
      <x:c r="H12" s="61" t="str"/>
    </x:row>
    <x:row r="13">
      <x:c r="A13" s="49"/>
      <x:c r="B13" s="49"/>
      <x:c r="C13" s="49"/>
      <x:c r="D13" s="49"/>
      <x:c r="E13" s="49"/>
      <x:c r="F13" s="49"/>
      <x:c r="G13" s="49"/>
      <x:c r="H13" s="49"/>
    </x:row>
    <x:row r="14" ht="42" customHeight="1">
      <x:c r="A14" s="50" t="str">
        <x:v>Total</x:v>
      </x:c>
      <x:c r="B14" s="51" t="str"/>
      <x:c r="C14" s="51" t="str"/>
      <x:c r="D14" s="51" t="str"/>
      <x:c r="E14" s="51" t="str"/>
      <x:c r="F14" s="51" t="str"/>
      <x:c r="G14" s="51" t="n">
        <x:f>SUM(G5:G12)</x:f>
        <x:v>0</x:v>
      </x:c>
      <x:c r="H14" s="52" t="str">
        <x:f>IF(AND(G14&gt;=22,F6=2,F8=2,F9=2),"Pass","Review")</x:f>
        <x:v>Review</x:v>
      </x:c>
    </x:row>
  </x:sheetData>
  <x:mergeCells>
    <x:mergeCell ref="A1:H1"/>
    <x:mergeCell ref="A2:H2"/>
  </x:mergeCells>
  <x:dataValidations count="1">
    <x:dataValidation type="list" sqref="F5:F12">
      <x:formula1>"0,1,2"</x:formula1>
    </x:dataValidation>
  </x:dataValidations>
  <x:pageMargins left="0.7" right="0.7" top="0.75" bottom="0.75" header="0.3" footer="0.3"/>
</x:worksheet>
</file>