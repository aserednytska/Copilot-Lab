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7aeaa1a78643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d21dbcbe82ce4599"/>
    <x:sheet xmlns:r="http://schemas.openxmlformats.org/officeDocument/2006/relationships" name="Extraction Review" sheetId="2" r:id="R232cc673ccdf48a9"/>
    <x:sheet xmlns:r="http://schemas.openxmlformats.org/officeDocument/2006/relationships" name="IMAGE Summary" sheetId="3" r:id="R57e765b4d15a4323"/>
    <x:sheet xmlns:r="http://schemas.openxmlformats.org/officeDocument/2006/relationships" name="Verified Business Record" sheetId="4" r:id="R9ac22317e3444537"/>
    <x:sheet xmlns:r="http://schemas.openxmlformats.org/officeDocument/2006/relationships" name="Audit Log" sheetId="5" r:id="R5868fc0adaaf4f2d"/>
    <x:sheet xmlns:r="http://schemas.openxmlformats.org/officeDocument/2006/relationships" name="Lists" sheetId="6" r:id="R4c6bd553ea6442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10">
    <x:font>
      <x:sz val="11"/>
      <x:name val="Carlito"/>
    </x:font>
    <x:font>
      <x:b/>
      <x:sz val="18"/>
      <x:color rgb="FFFFFFFF"/>
      <x:name val="Carlito"/>
    </x:font>
    <x:font>
      <x:i/>
      <x:sz val="11"/>
      <x:color rgb="FF486581"/>
      <x:name val="Carlito"/>
    </x:font>
    <x:font>
      <x:b/>
      <x:sz val="11"/>
      <x:color rgb="FFFFFFFF"/>
      <x:name val="Carlito"/>
    </x:font>
    <x:font>
      <x:sz val="11"/>
      <x:color rgb="FF242424"/>
      <x:name val="Carlito"/>
    </x:font>
    <x:font>
      <x:b/>
      <x:sz val="18"/>
      <x:color rgb="FFFFFFFF"/>
      <x:name val="Aptos"/>
    </x:font>
    <x:font>
      <x:i/>
      <x:sz val="11"/>
      <x:color rgb="FF486581"/>
      <x:name val="Aptos"/>
    </x:font>
    <x:font>
      <x:sz val="11"/>
      <x:name val="Aptos"/>
    </x:font>
    <x:font>
      <x:b/>
      <x:sz val="11"/>
      <x:color rgb="FFFFFFFF"/>
      <x:name val="Aptos"/>
    </x:font>
    <x:font>
      <x:sz val="11"/>
      <x:color rgb="FF242424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3294B"/>
      </x:patternFill>
    </x:fill>
    <x:fill>
      <x:patternFill patternType="solid">
        <x:fgColor rgb="FFEAF4FB"/>
      </x:patternFill>
    </x:fill>
    <x:fill>
      <x:patternFill patternType="solid">
        <x:fgColor rgb="FF0067B8"/>
      </x:patternFill>
    </x:fill>
  </x:fills>
  <x:borders count="13">
    <x:border/>
    <x:border>
      <x:right style="thin">
        <x:color rgb="FFB7C8D8"/>
      </x:right>
    </x:border>
    <x:border>
      <x:left style="thin">
        <x:color rgb="FFB7C8D8"/>
      </x:left>
      <x:right style="thin">
        <x:color rgb="FFB7C8D8"/>
      </x:right>
    </x:border>
    <x:border>
      <x:left style="thin">
        <x:color rgb="FFB7C8D8"/>
      </x:left>
    </x:border>
    <x:border>
      <x:right style="thin">
        <x:color rgb="FFD6D6D6"/>
      </x:right>
      <x:bottom style="thin">
        <x:color rgb="FFD6D6D6"/>
      </x:bottom>
    </x:border>
    <x:border>
      <x:left style="thin">
        <x:color rgb="FFD6D6D6"/>
      </x:left>
      <x:right style="thin">
        <x:color rgb="FFD6D6D6"/>
      </x:right>
      <x:bottom style="thin">
        <x:color rgb="FFD6D6D6"/>
      </x:bottom>
    </x:border>
    <x:border>
      <x:left style="thin">
        <x:color rgb="FFD6D6D6"/>
      </x:left>
      <x:bottom style="thin">
        <x:color rgb="FFD6D6D6"/>
      </x:bottom>
    </x:border>
    <x:border>
      <x:right style="thin">
        <x:color rgb="FFD6D6D6"/>
      </x:right>
      <x:top style="thin">
        <x:color rgb="FFD6D6D6"/>
      </x:top>
      <x:bottom style="thin">
        <x:color rgb="FFD6D6D6"/>
      </x:bottom>
    </x:border>
    <x:border>
      <x:left style="thin">
        <x:color rgb="FFD6D6D6"/>
      </x:left>
      <x:right style="thin">
        <x:color rgb="FFD6D6D6"/>
      </x:right>
      <x:top style="thin">
        <x:color rgb="FFD6D6D6"/>
      </x:top>
      <x:bottom style="thin">
        <x:color rgb="FFD6D6D6"/>
      </x:bottom>
    </x:border>
    <x:border>
      <x:left style="thin">
        <x:color rgb="FFD6D6D6"/>
      </x:left>
      <x:top style="thin">
        <x:color rgb="FFD6D6D6"/>
      </x:top>
      <x:bottom style="thin">
        <x:color rgb="FFD6D6D6"/>
      </x:bottom>
    </x:border>
    <x:border>
      <x:right style="thin">
        <x:color rgb="FFD6D6D6"/>
      </x:right>
      <x:top style="thin">
        <x:color rgb="FFD6D6D6"/>
      </x:top>
    </x:border>
    <x:border>
      <x:left style="thin">
        <x:color rgb="FFD6D6D6"/>
      </x:left>
      <x:right style="thin">
        <x:color rgb="FFD6D6D6"/>
      </x:right>
      <x:top style="thin">
        <x:color rgb="FFD6D6D6"/>
      </x:top>
    </x:border>
    <x:border>
      <x:left style="thin">
        <x:color rgb="FFD6D6D6"/>
      </x:left>
      <x:top style="thin">
        <x:color rgb="FFD6D6D6"/>
      </x:top>
    </x:border>
  </x:borders>
  <x:cellStyleXfs count="1">
    <x:xf numFmtId="0" fontId="0" fillId="0" borderId="0"/>
  </x:cellStyleXfs>
  <x:cellXfs count="7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200" fontId="4" fillId="0" borderId="6" xfId="0" applyNumberFormat="1" applyFont="1" applyFill="1" applyBorder="1" applyAlignment="1">
      <x:alignment vertical="top" wrapText="1"/>
    </x:xf>
    <x:xf numFmtId="200" fontId="4" fillId="0" borderId="9" xfId="0" applyNumberFormat="1" applyFont="1" applyFill="1" applyBorder="1" applyAlignment="1">
      <x:alignment vertical="top" wrapText="1"/>
    </x:xf>
    <x:xf numFmtId="200" fontId="4" fillId="0" borderId="12" xfId="0" applyNumberFormat="1" applyFont="1" applyFill="1" applyBorder="1" applyAlignment="1">
      <x:alignment vertical="top" wrapText="1"/>
    </x:xf>
    <x:xf numFmtId="201" fontId="4" fillId="0" borderId="5" xfId="0" applyNumberFormat="1" applyFont="1" applyFill="1" applyBorder="1" applyAlignment="1">
      <x:alignment vertical="top" wrapText="1"/>
    </x:xf>
    <x:xf numFmtId="201" fontId="4" fillId="0" borderId="8" xfId="0" applyNumberFormat="1" applyFont="1" applyFill="1" applyBorder="1" applyAlignment="1">
      <x:alignment vertical="top" wrapText="1"/>
    </x:xf>
    <x:xf numFmtId="201" fontId="4" fillId="0" borderId="1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8" fillId="4" borderId="1" xfId="0" applyNumberFormat="1" applyFont="1" applyFill="1" applyBorder="1" applyAlignment="1">
      <x:alignment vertical="center" wrapText="1"/>
    </x:xf>
    <x:xf numFmtId="0" fontId="8" fillId="4" borderId="2" xfId="0" applyNumberFormat="1" applyFont="1" applyFill="1" applyBorder="1" applyAlignment="1">
      <x:alignment vertical="center" wrapText="1"/>
    </x:xf>
    <x:xf numFmtId="0" fontId="8" fillId="4" borderId="3" xfId="0" applyNumberFormat="1" applyFont="1" applyFill="1" applyBorder="1" applyAlignment="1">
      <x:alignment vertical="center" wrapText="1"/>
    </x:xf>
    <x:xf numFmtId="0" fontId="9" fillId="0" borderId="4" xfId="0" applyNumberFormat="1" applyFont="1" applyFill="1" applyBorder="1" applyAlignment="1">
      <x:alignment vertical="top" wrapText="1"/>
    </x:xf>
    <x:xf numFmtId="0" fontId="9" fillId="0" borderId="5" xfId="0" applyNumberFormat="1" applyFont="1" applyFill="1" applyBorder="1" applyAlignment="1">
      <x:alignment vertical="top" wrapText="1"/>
    </x:xf>
    <x:xf numFmtId="0" fontId="9" fillId="0" borderId="6" xfId="0" applyNumberFormat="1" applyFont="1" applyFill="1" applyBorder="1" applyAlignment="1">
      <x:alignment vertical="top" wrapText="1"/>
    </x:xf>
    <x:xf numFmtId="0" fontId="9" fillId="0" borderId="7" xfId="0" applyNumberFormat="1" applyFont="1" applyFill="1" applyBorder="1" applyAlignment="1">
      <x:alignment vertical="top" wrapText="1"/>
    </x:xf>
    <x:xf numFmtId="0" fontId="9" fillId="0" borderId="8" xfId="0" applyNumberFormat="1" applyFont="1" applyFill="1" applyBorder="1" applyAlignment="1">
      <x:alignment vertical="top" wrapText="1"/>
    </x:xf>
    <x:xf numFmtId="0" fontId="9" fillId="0" borderId="9" xfId="0" applyNumberFormat="1" applyFont="1" applyFill="1" applyBorder="1" applyAlignment="1">
      <x:alignment vertical="top" wrapText="1"/>
    </x:xf>
    <x:xf numFmtId="0" fontId="9" fillId="0" borderId="10" xfId="0" applyNumberFormat="1" applyFont="1" applyFill="1" applyBorder="1" applyAlignment="1">
      <x:alignment vertical="top" wrapText="1"/>
    </x:xf>
    <x:xf numFmtId="0" fontId="9" fillId="0" borderId="11" xfId="0" applyNumberFormat="1" applyFont="1" applyFill="1" applyBorder="1" applyAlignment="1">
      <x:alignment vertical="top" wrapText="1"/>
    </x:xf>
    <x:xf numFmtId="0" fontId="9" fillId="0" borderId="12" xfId="0" applyNumberFormat="1" applyFont="1" applyFill="1" applyBorder="1" applyAlignment="1">
      <x:alignment vertical="top" wrapText="1"/>
    </x:xf>
    <x:xf numFmtId="200" fontId="9" fillId="0" borderId="6" xfId="0" applyNumberFormat="1" applyFont="1" applyFill="1" applyBorder="1" applyAlignment="1">
      <x:alignment vertical="top" wrapText="1"/>
    </x:xf>
    <x:xf numFmtId="200" fontId="9" fillId="0" borderId="9" xfId="0" applyNumberFormat="1" applyFont="1" applyFill="1" applyBorder="1" applyAlignment="1">
      <x:alignment vertical="top" wrapText="1"/>
    </x:xf>
    <x:xf numFmtId="200" fontId="9" fillId="0" borderId="12" xfId="0" applyNumberFormat="1" applyFont="1" applyFill="1" applyBorder="1" applyAlignment="1">
      <x:alignment vertical="top" wrapText="1"/>
    </x:xf>
    <x:xf numFmtId="201" fontId="9" fillId="0" borderId="5" xfId="0" applyNumberFormat="1" applyFont="1" applyFill="1" applyBorder="1" applyAlignment="1">
      <x:alignment vertical="top" wrapText="1"/>
    </x:xf>
    <x:xf numFmtId="201" fontId="9" fillId="0" borderId="8" xfId="0" applyNumberFormat="1" applyFont="1" applyFill="1" applyBorder="1" applyAlignment="1">
      <x:alignment vertical="top" wrapText="1"/>
    </x:xf>
    <x:xf numFmtId="201" fontId="9" fillId="0" borderId="1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107C10"/>
      </x:font>
      <x:fill>
        <x:patternFill patternType="solid">
          <x:bgColor rgb="FFE6F4EA"/>
        </x:patternFill>
      </x:fill>
    </x:dxf>
    <x:dxf>
      <x:font>
        <x:b/>
        <x:color rgb="FF8A5100"/>
      </x:font>
      <x:fill>
        <x:patternFill patternType="solid">
          <x:bgColor rgb="FFFFF4CE"/>
        </x:patternFill>
      </x:fill>
    </x:dxf>
    <x:dxf>
      <x:font>
        <x:b/>
        <x:color rgb="FF107C10"/>
      </x:font>
      <x:fill>
        <x:patternFill patternType="solid">
          <x:bgColor rgb="FFE6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79ae03aaa14d18" /><Relationship Type="http://schemas.openxmlformats.org/officeDocument/2006/relationships/theme" Target="/xl/theme/theme1.xml" Id="Rd173a401d108445c" /><Relationship Type="http://schemas.openxmlformats.org/officeDocument/2006/relationships/sharedStrings" Target="/xl/sharedStrings.xml" Id="Rf4cbc600ac6147b9" /><Relationship Type="http://schemas.openxmlformats.org/officeDocument/2006/relationships/worksheet" Target="/xl/worksheets/sheet1.xml" Id="Rd21dbcbe82ce4599" /><Relationship Type="http://schemas.openxmlformats.org/officeDocument/2006/relationships/worksheet" Target="/xl/worksheets/sheet2.xml" Id="R232cc673ccdf48a9" /><Relationship Type="http://schemas.openxmlformats.org/officeDocument/2006/relationships/worksheet" Target="/xl/worksheets/sheet3.xml" Id="R57e765b4d15a4323" /><Relationship Type="http://schemas.openxmlformats.org/officeDocument/2006/relationships/worksheet" Target="/xl/worksheets/sheet4.xml" Id="R9ac22317e3444537" /><Relationship Type="http://schemas.openxmlformats.org/officeDocument/2006/relationships/worksheet" Target="/xl/worksheets/sheet5.xml" Id="R5868fc0adaaf4f2d" /><Relationship Type="http://schemas.openxmlformats.org/officeDocument/2006/relationships/worksheet" Target="/xl/worksheets/sheet6.xml" Id="R4c6bd553ea644240" /></Relationships>
</file>

<file path=xl/tables/table1.xml><?xml version="1.0" encoding="utf-8"?>
<x:table xmlns:x="http://schemas.openxmlformats.org/spreadsheetml/2006/main" id="1" name="ExtractionReviewTable" displayName="ExtractionReviewTable" ref="A4:N164" headerRowCount="1" totalsRowCount="0" totalsRowShown="0">
  <x:tableColumns count="14">
    <x:tableColumn id="1" name="Test ID"/>
    <x:tableColumn id="2" name="Source File"/>
    <x:tableColumn id="3" name="Page / Region"/>
    <x:tableColumn id="4" name="Field"/>
    <x:tableColumn id="5" name="AI Extracted Value"/>
    <x:tableColumn id="6" name="Confidence"/>
    <x:tableColumn id="7" name="Image Quality Issue"/>
    <x:tableColumn id="8" name="Workshop Comparison Value"/>
    <x:tableColumn id="9" name="Match Status"/>
    <x:tableColumn id="10" name="Evidence Status"/>
    <x:tableColumn id="11" name="IMAGE Decision"/>
    <x:tableColumn id="12" name="Reviewer"/>
    <x:tableColumn id="13" name="Review Notes"/>
    <x:tableColumn id="14" name="Release Eligib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erifiedBusinessRecordTable" displayName="VerifiedBusinessRecordTable" ref="A4:G19" headerRowCount="1" totalsRowCount="0" totalsRowShown="0">
  <x:tableColumns count="7">
    <x:tableColumn id="1" name="Field"/>
    <x:tableColumn id="2" name="Before Value"/>
    <x:tableColumn id="3" name="Approved Value"/>
    <x:tableColumn id="4" name="Evidence Status"/>
    <x:tableColumn id="5" name="Source File"/>
    <x:tableColumn id="6" name="Human Reviewer"/>
    <x:tableColumn id="7" name="Approval 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aeed5ba41cb483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bf31f9b363d54d4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62" hidden="0" customWidth="1"/>
    <x:col min="3" max="3" width="54" hidden="0" customWidth="1"/>
    <x:col min="4" max="4" width="24" hidden="0" customWidth="1"/>
    <x:col min="5" max="5" width="18" hidden="0" customWidth="1"/>
    <x:col min="6" max="6" width="40" hidden="0" customWidth="1"/>
  </x:cols>
  <x:sheetData>
    <x:row r="1" ht="34" customHeight="1">
      <x:c r="A1" s="53" t="str">
        <x:v>Lab 11 - Image Extraction Validation Register</x:v>
      </x:c>
      <x:c r="B1" s="53"/>
      <x:c r="C1" s="53"/>
      <x:c r="D1" s="53"/>
      <x:c r="E1" s="53"/>
      <x:c r="F1" s="53"/>
    </x:row>
    <x:row r="2" ht="34" customHeight="1">
      <x:c r="A2" s="54" t="str">
        <x:v>Record Copilot results, verify them with IMAGE and release only human-approved fields. Synthetic workshop data only.</x:v>
      </x:c>
      <x:c r="B2" s="54"/>
      <x:c r="C2" s="54"/>
      <x:c r="D2" s="54"/>
      <x:c r="E2" s="54"/>
      <x:c r="F2" s="54"/>
    </x:row>
    <x:row r="3">
      <x:c r="A3" s="55"/>
      <x:c r="B3" s="55"/>
      <x:c r="C3" s="55"/>
      <x:c r="D3" s="55"/>
      <x:c r="E3" s="55"/>
      <x:c r="F3" s="55"/>
    </x:row>
    <x:row r="4" ht="42" customHeight="1">
      <x:c r="A4" s="56" t="str">
        <x:v>Step</x:v>
      </x:c>
      <x:c r="B4" s="57" t="str">
        <x:v>Instruction</x:v>
      </x:c>
      <x:c r="C4" s="57" t="str">
        <x:v>Why it matters</x:v>
      </x:c>
      <x:c r="D4" s="57" t="str">
        <x:v>Owner</x:v>
      </x:c>
      <x:c r="E4" s="57" t="str">
        <x:v>Status</x:v>
      </x:c>
      <x:c r="F4" s="58" t="str">
        <x:v>Evidence</x:v>
      </x:c>
    </x:row>
    <x:row r="5" ht="58" customHeight="1">
      <x:c r="A5" s="59" t="str">
        <x:v>1</x:v>
      </x:c>
      <x:c r="B5" s="60" t="str">
        <x:v>Test one source at a time and keep the original filename.</x:v>
      </x:c>
      <x:c r="C5" s="60" t="str">
        <x:v>Prevents results from different images being silently blended.</x:v>
      </x:c>
      <x:c r="D5" s="60" t="str">
        <x:v>Participant</x:v>
      </x:c>
      <x:c r="E5" s="60" t="str">
        <x:v>Not started</x:v>
      </x:c>
      <x:c r="F5" s="61" t="str"/>
    </x:row>
    <x:row r="6" ht="58" customHeight="1">
      <x:c r="A6" s="62" t="str">
        <x:v>2</x:v>
      </x:c>
      <x:c r="B6" s="63" t="str">
        <x:v>Ask Copilot to write directly into the AI Extraction columns when supported.</x:v>
      </x:c>
      <x:c r="C6" s="63" t="str">
        <x:v>Avoids uncontrolled row-by-row copying.</x:v>
      </x:c>
      <x:c r="D6" s="63" t="str">
        <x:v>Participant</x:v>
      </x:c>
      <x:c r="E6" s="63" t="str">
        <x:v>Not started</x:v>
      </x:c>
      <x:c r="F6" s="64" t="str"/>
    </x:row>
    <x:row r="7" ht="58" customHeight="1">
      <x:c r="A7" s="62" t="str">
        <x:v>3</x:v>
      </x:c>
      <x:c r="B7" s="63" t="str">
        <x:v>If direct editing is unavailable, request a downloadable CSV/XLSX and import it through Excel Data.</x:v>
      </x:c>
      <x:c r="C7" s="63" t="str">
        <x:v>Preserves a structured transfer path.</x:v>
      </x:c>
      <x:c r="D7" s="63" t="str">
        <x:v>Participant</x:v>
      </x:c>
      <x:c r="E7" s="63" t="str">
        <x:v>Not started</x:v>
      </x:c>
      <x:c r="F7" s="64" t="str"/>
    </x:row>
    <x:row r="8" ht="58" customHeight="1">
      <x:c r="A8" s="62" t="str">
        <x:v>4</x:v>
      </x:c>
      <x:c r="B8" s="63" t="str">
        <x:v>Compare each value with the visible source and the authoritative control PDF.</x:v>
      </x:c>
      <x:c r="C8" s="63" t="str">
        <x:v>Fluent output is not proof of accuracy.</x:v>
      </x:c>
      <x:c r="D8" s="63" t="str">
        <x:v>Human reviewer</x:v>
      </x:c>
      <x:c r="E8" s="63" t="str">
        <x:v>Not started</x:v>
      </x:c>
      <x:c r="F8" s="64" t="str"/>
    </x:row>
    <x:row r="9" ht="58" customHeight="1">
      <x:c r="A9" s="62" t="str">
        <x:v>5</x:v>
      </x:c>
      <x:c r="B9" s="63" t="str">
        <x:v>Set IMAGE Decision to Human approved only after all five gates pass.</x:v>
      </x:c>
      <x:c r="C9" s="63" t="str">
        <x:v>Approval remains a human responsibility.</x:v>
      </x:c>
      <x:c r="D9" s="63" t="str">
        <x:v>Human reviewer</x:v>
      </x:c>
      <x:c r="E9" s="63" t="str">
        <x:v>Not started</x:v>
      </x:c>
      <x:c r="F9" s="64" t="str"/>
    </x:row>
    <x:row r="10" ht="58" customHeight="1">
      <x:c r="A10" s="62" t="str">
        <x:v>6</x:v>
      </x:c>
      <x:c r="B10" s="63" t="str">
        <x:v>Update only matching fields in Verified Business Record and write an Audit Log row.</x:v>
      </x:c>
      <x:c r="C10" s="63" t="str">
        <x:v>Protects unrelated values and creates traceability.</x:v>
      </x:c>
      <x:c r="D10" s="63" t="str">
        <x:v>Copilot in Excel</x:v>
      </x:c>
      <x:c r="E10" s="63" t="str">
        <x:v>Not started</x:v>
      </x:c>
      <x:c r="F10" s="64" t="str"/>
    </x:row>
    <x:row r="11" ht="58" customHeight="1">
      <x:c r="A11" s="65" t="str">
        <x:v>7</x:v>
      </x:c>
      <x:c r="B11" s="66" t="str">
        <x:v>Replace only S03 with S10 for the controlled change test.</x:v>
      </x:c>
      <x:c r="C11" s="66" t="str">
        <x:v>Only the affected extraction result should change.</x:v>
      </x:c>
      <x:c r="D11" s="66" t="str">
        <x:v>Participant</x:v>
      </x:c>
      <x:c r="E11" s="66" t="str">
        <x:v>Not started</x:v>
      </x:c>
      <x:c r="F11" s="67" t="str"/>
    </x:row>
  </x:sheetData>
  <x:mergeCells>
    <x:mergeCell ref="A1:F1"/>
    <x:mergeCell ref="A2:F2"/>
  </x:mergeCells>
  <x:dataValidations count="1">
    <x:dataValidation type="list" sqref="E5:E11">
      <x:formula1>"Not started,In progress,Complete,Blocked"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4" hidden="0" customWidth="1"/>
    <x:col min="3" max="3" width="24" hidden="0" customWidth="1"/>
    <x:col min="4" max="4" width="34" hidden="0" customWidth="1"/>
    <x:col min="5" max="5" width="30" hidden="0" customWidth="1"/>
    <x:col min="6" max="6" width="18" hidden="0" customWidth="1"/>
    <x:col min="7" max="7" width="42" hidden="0" customWidth="1"/>
    <x:col min="8" max="8" width="30" hidden="0" customWidth="1"/>
    <x:col min="9" max="9" width="18" hidden="0" customWidth="1"/>
    <x:col min="10" max="10" width="20" hidden="0" customWidth="1"/>
    <x:col min="11" max="11" width="22" hidden="0" customWidth="1"/>
    <x:col min="12" max="12" width="24" hidden="0" customWidth="1"/>
    <x:col min="13" max="13" width="45" hidden="0" customWidth="1"/>
    <x:col min="14" max="14" width="18" hidden="0" customWidth="1"/>
  </x:cols>
  <x:sheetData>
    <x:row r="1" ht="34" customHeight="1">
      <x:c r="A1" s="53" t="str">
        <x:v>Extraction Review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  <x:c r="N1" s="53"/>
    </x:row>
    <x:row r="2" ht="34" customHeight="1">
      <x:c r="A2" s="54" t="str">
        <x:v>AI writes only to columns E-G and J. A human verifies columns K-M. Column H is the workshop comparison value, not permission to transfer.</x:v>
      </x:c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</x:row>
    <x:row r="3">
      <x:c r="A3" s="55"/>
      <x:c r="B3" s="55"/>
      <x:c r="C3" s="55"/>
      <x:c r="D3" s="55"/>
      <x:c r="E3" s="55"/>
      <x:c r="F3" s="55"/>
      <x:c r="G3" s="55"/>
      <x:c r="H3" s="55"/>
      <x:c r="I3" s="55"/>
      <x:c r="J3" s="55"/>
      <x:c r="K3" s="55"/>
      <x:c r="L3" s="55"/>
      <x:c r="M3" s="55"/>
      <x:c r="N3" s="55"/>
    </x:row>
    <x:row r="4" ht="42" customHeight="1">
      <x:c r="A4" s="56" t="str">
        <x:v>Test ID</x:v>
      </x:c>
      <x:c r="B4" s="57" t="str">
        <x:v>Source File</x:v>
      </x:c>
      <x:c r="C4" s="57" t="str">
        <x:v>Page / Region</x:v>
      </x:c>
      <x:c r="D4" s="57" t="str">
        <x:v>Field</x:v>
      </x:c>
      <x:c r="E4" s="57" t="str">
        <x:v>AI Extracted Value</x:v>
      </x:c>
      <x:c r="F4" s="57" t="str">
        <x:v>Confidence</x:v>
      </x:c>
      <x:c r="G4" s="57" t="str">
        <x:v>Image Quality Issue</x:v>
      </x:c>
      <x:c r="H4" s="57" t="str">
        <x:v>Workshop Comparison Value</x:v>
      </x:c>
      <x:c r="I4" s="57" t="str">
        <x:v>Match Status</x:v>
      </x:c>
      <x:c r="J4" s="57" t="str">
        <x:v>Evidence Status</x:v>
      </x:c>
      <x:c r="K4" s="57" t="str">
        <x:v>IMAGE Decision</x:v>
      </x:c>
      <x:c r="L4" s="57" t="str">
        <x:v>Reviewer</x:v>
      </x:c>
      <x:c r="M4" s="57" t="str">
        <x:v>Review Notes</x:v>
      </x:c>
      <x:c r="N4" s="58" t="str">
        <x:v>Release Eligible</x:v>
      </x:c>
    </x:row>
    <x:row r="5" ht="43" customHeight="1">
      <x:c r="A5" s="59" t="str">
        <x:v>S01-01</x:v>
      </x:c>
      <x:c r="B5" s="60" t="str">
        <x:v>01_Project_Nova_Control_Text.pdf</x:v>
      </x:c>
      <x:c r="C5" s="60" t="str">
        <x:v>Page 1</x:v>
      </x:c>
      <x:c r="D5" s="60" t="str">
        <x:v>Request ID</x:v>
      </x:c>
      <x:c r="E5" s="60" t="str"/>
      <x:c r="F5" s="60" t="str">
        <x:v>Not assessed</x:v>
      </x:c>
      <x:c r="G5" s="60" t="str">
        <x:v>Clean text control</x:v>
      </x:c>
      <x:c r="H5" s="60" t="str">
        <x:v>AR-2048</x:v>
      </x:c>
      <x:c r="I5" s="60" t="str">
        <x:f>IF(E5="","Not run",IF(EXACT(E5,H5),"Match","Review"))</x:f>
        <x:v>Not run</x:v>
      </x:c>
      <x:c r="J5" s="60" t="str">
        <x:v>Not assessed</x:v>
      </x:c>
      <x:c r="K5" s="60" t="str">
        <x:v>Not reviewed</x:v>
      </x:c>
      <x:c r="L5" s="60" t="str"/>
      <x:c r="M5" s="60" t="str"/>
      <x:c r="N5" s="61" t="str">
        <x:f>IF(AND(I5="Match",K5="Human approved"),"Yes","No")</x:f>
        <x:v>No</x:v>
      </x:c>
    </x:row>
    <x:row r="6" ht="43" customHeight="1">
      <x:c r="A6" s="62" t="str">
        <x:v>S01-02</x:v>
      </x:c>
      <x:c r="B6" s="63" t="str">
        <x:v>01_Project_Nova_Control_Text.pdf</x:v>
      </x:c>
      <x:c r="C6" s="63" t="str">
        <x:v>Page 1</x:v>
      </x:c>
      <x:c r="D6" s="63" t="str">
        <x:v>Requester</x:v>
      </x:c>
      <x:c r="E6" s="63" t="str"/>
      <x:c r="F6" s="63" t="str">
        <x:v>Not assessed</x:v>
      </x:c>
      <x:c r="G6" s="63" t="str">
        <x:v>Clean text control</x:v>
      </x:c>
      <x:c r="H6" s="63" t="str">
        <x:v>Mika Olsen</x:v>
      </x:c>
      <x:c r="I6" s="63" t="str">
        <x:f>IF(E6="","Not run",IF(EXACT(E6,H6),"Match","Review"))</x:f>
        <x:v>Not run</x:v>
      </x:c>
      <x:c r="J6" s="63" t="str">
        <x:v>Not assessed</x:v>
      </x:c>
      <x:c r="K6" s="63" t="str">
        <x:v>Not reviewed</x:v>
      </x:c>
      <x:c r="L6" s="63" t="str"/>
      <x:c r="M6" s="63" t="str"/>
      <x:c r="N6" s="64" t="str">
        <x:f>IF(AND(I6="Match",K6="Human approved"),"Yes","No")</x:f>
        <x:v>No</x:v>
      </x:c>
    </x:row>
    <x:row r="7" ht="43" customHeight="1">
      <x:c r="A7" s="62" t="str">
        <x:v>S01-03</x:v>
      </x:c>
      <x:c r="B7" s="63" t="str">
        <x:v>01_Project_Nova_Control_Text.pdf</x:v>
      </x:c>
      <x:c r="C7" s="63" t="str">
        <x:v>Page 1</x:v>
      </x:c>
      <x:c r="D7" s="63" t="str">
        <x:v>Business unit</x:v>
      </x:c>
      <x:c r="E7" s="63" t="str"/>
      <x:c r="F7" s="63" t="str">
        <x:v>Not assessed</x:v>
      </x:c>
      <x:c r="G7" s="63" t="str">
        <x:v>Clean text control</x:v>
      </x:c>
      <x:c r="H7" s="63" t="str">
        <x:v>Finance Operations</x:v>
      </x:c>
      <x:c r="I7" s="63" t="str">
        <x:f>IF(E7="","Not run",IF(EXACT(E7,H7),"Match","Review"))</x:f>
        <x:v>Not run</x:v>
      </x:c>
      <x:c r="J7" s="63" t="str">
        <x:v>Not assessed</x:v>
      </x:c>
      <x:c r="K7" s="63" t="str">
        <x:v>Not reviewed</x:v>
      </x:c>
      <x:c r="L7" s="63" t="str"/>
      <x:c r="M7" s="63" t="str"/>
      <x:c r="N7" s="64" t="str">
        <x:f>IF(AND(I7="Match",K7="Human approved"),"Yes","No")</x:f>
        <x:v>No</x:v>
      </x:c>
    </x:row>
    <x:row r="8" ht="43" customHeight="1">
      <x:c r="A8" s="62" t="str">
        <x:v>S01-04</x:v>
      </x:c>
      <x:c r="B8" s="63" t="str">
        <x:v>01_Project_Nova_Control_Text.pdf</x:v>
      </x:c>
      <x:c r="C8" s="63" t="str">
        <x:v>Page 1</x:v>
      </x:c>
      <x:c r="D8" s="63" t="str">
        <x:v>Access type</x:v>
      </x:c>
      <x:c r="E8" s="63" t="str"/>
      <x:c r="F8" s="63" t="str">
        <x:v>Not assessed</x:v>
      </x:c>
      <x:c r="G8" s="63" t="str">
        <x:v>Clean text control</x:v>
      </x:c>
      <x:c r="H8" s="63" t="str">
        <x:v>FinanceHub Approver</x:v>
      </x:c>
      <x:c r="I8" s="63" t="str">
        <x:f>IF(E8="","Not run",IF(EXACT(E8,H8),"Match","Review"))</x:f>
        <x:v>Not run</x:v>
      </x:c>
      <x:c r="J8" s="63" t="str">
        <x:v>Not assessed</x:v>
      </x:c>
      <x:c r="K8" s="63" t="str">
        <x:v>Not reviewed</x:v>
      </x:c>
      <x:c r="L8" s="63" t="str"/>
      <x:c r="M8" s="63" t="str"/>
      <x:c r="N8" s="64" t="str">
        <x:f>IF(AND(I8="Match",K8="Human approved"),"Yes","No")</x:f>
        <x:v>No</x:v>
      </x:c>
    </x:row>
    <x:row r="9" ht="43" customHeight="1">
      <x:c r="A9" s="62" t="str">
        <x:v>S01-05</x:v>
      </x:c>
      <x:c r="B9" s="63" t="str">
        <x:v>01_Project_Nova_Control_Text.pdf</x:v>
      </x:c>
      <x:c r="C9" s="63" t="str">
        <x:v>Page 1</x:v>
      </x:c>
      <x:c r="D9" s="63" t="str">
        <x:v>Environment</x:v>
      </x:c>
      <x:c r="E9" s="63" t="str"/>
      <x:c r="F9" s="63" t="str">
        <x:v>Not assessed</x:v>
      </x:c>
      <x:c r="G9" s="63" t="str">
        <x:v>Clean text control</x:v>
      </x:c>
      <x:c r="H9" s="63" t="str">
        <x:v>Production</x:v>
      </x:c>
      <x:c r="I9" s="63" t="str">
        <x:f>IF(E9="","Not run",IF(EXACT(E9,H9),"Match","Review"))</x:f>
        <x:v>Not run</x:v>
      </x:c>
      <x:c r="J9" s="63" t="str">
        <x:v>Not assessed</x:v>
      </x:c>
      <x:c r="K9" s="63" t="str">
        <x:v>Not reviewed</x:v>
      </x:c>
      <x:c r="L9" s="63" t="str"/>
      <x:c r="M9" s="63" t="str"/>
      <x:c r="N9" s="64" t="str">
        <x:f>IF(AND(I9="Match",K9="Human approved"),"Yes","No")</x:f>
        <x:v>No</x:v>
      </x:c>
    </x:row>
    <x:row r="10" ht="43" customHeight="1">
      <x:c r="A10" s="62" t="str">
        <x:v>S01-06</x:v>
      </x:c>
      <x:c r="B10" s="63" t="str">
        <x:v>01_Project_Nova_Control_Text.pdf</x:v>
      </x:c>
      <x:c r="C10" s="63" t="str">
        <x:v>Page 1</x:v>
      </x:c>
      <x:c r="D10" s="63" t="str">
        <x:v>Effective date</x:v>
      </x:c>
      <x:c r="E10" s="63" t="str"/>
      <x:c r="F10" s="63" t="str">
        <x:v>Not assessed</x:v>
      </x:c>
      <x:c r="G10" s="63" t="str">
        <x:v>Clean text control</x:v>
      </x:c>
      <x:c r="H10" s="63" t="str">
        <x:v>2026-09-15</x:v>
      </x:c>
      <x:c r="I10" s="63" t="str">
        <x:f>IF(E10="","Not run",IF(EXACT(E10,H10),"Match","Review"))</x:f>
        <x:v>Not run</x:v>
      </x:c>
      <x:c r="J10" s="63" t="str">
        <x:v>Not assessed</x:v>
      </x:c>
      <x:c r="K10" s="63" t="str">
        <x:v>Not reviewed</x:v>
      </x:c>
      <x:c r="L10" s="63" t="str"/>
      <x:c r="M10" s="63" t="str"/>
      <x:c r="N10" s="64" t="str">
        <x:f>IF(AND(I10="Match",K10="Human approved"),"Yes","No")</x:f>
        <x:v>No</x:v>
      </x:c>
    </x:row>
    <x:row r="11" ht="43" customHeight="1">
      <x:c r="A11" s="62" t="str">
        <x:v>S01-07</x:v>
      </x:c>
      <x:c r="B11" s="63" t="str">
        <x:v>01_Project_Nova_Control_Text.pdf</x:v>
      </x:c>
      <x:c r="C11" s="63" t="str">
        <x:v>Page 1</x:v>
      </x:c>
      <x:c r="D11" s="63" t="str">
        <x:v>End date</x:v>
      </x:c>
      <x:c r="E11" s="63" t="str"/>
      <x:c r="F11" s="63" t="str">
        <x:v>Not assessed</x:v>
      </x:c>
      <x:c r="G11" s="63" t="str">
        <x:v>Clean text control</x:v>
      </x:c>
      <x:c r="H11" s="63" t="str">
        <x:v>2026-12-31</x:v>
      </x:c>
      <x:c r="I11" s="63" t="str">
        <x:f>IF(E11="","Not run",IF(EXACT(E11,H11),"Match","Review"))</x:f>
        <x:v>Not run</x:v>
      </x:c>
      <x:c r="J11" s="63" t="str">
        <x:v>Not assessed</x:v>
      </x:c>
      <x:c r="K11" s="63" t="str">
        <x:v>Not reviewed</x:v>
      </x:c>
      <x:c r="L11" s="63" t="str"/>
      <x:c r="M11" s="63" t="str"/>
      <x:c r="N11" s="64" t="str">
        <x:f>IF(AND(I11="Match",K11="Human approved"),"Yes","No")</x:f>
        <x:v>No</x:v>
      </x:c>
    </x:row>
    <x:row r="12" ht="43" customHeight="1">
      <x:c r="A12" s="62" t="str">
        <x:v>S01-08</x:v>
      </x:c>
      <x:c r="B12" s="63" t="str">
        <x:v>01_Project_Nova_Control_Text.pdf</x:v>
      </x:c>
      <x:c r="C12" s="63" t="str">
        <x:v>Page 1</x:v>
      </x:c>
      <x:c r="D12" s="63" t="str">
        <x:v>Cost centre</x:v>
      </x:c>
      <x:c r="E12" s="63" t="str"/>
      <x:c r="F12" s="63" t="str">
        <x:v>Not assessed</x:v>
      </x:c>
      <x:c r="G12" s="63" t="str">
        <x:v>Clean text control</x:v>
      </x:c>
      <x:c r="H12" s="63" t="str">
        <x:v>CC-4710</x:v>
      </x:c>
      <x:c r="I12" s="63" t="str">
        <x:f>IF(E12="","Not run",IF(EXACT(E12,H12),"Match","Review"))</x:f>
        <x:v>Not run</x:v>
      </x:c>
      <x:c r="J12" s="63" t="str">
        <x:v>Not assessed</x:v>
      </x:c>
      <x:c r="K12" s="63" t="str">
        <x:v>Not reviewed</x:v>
      </x:c>
      <x:c r="L12" s="63" t="str"/>
      <x:c r="M12" s="63" t="str"/>
      <x:c r="N12" s="64" t="str">
        <x:f>IF(AND(I12="Match",K12="Human approved"),"Yes","No")</x:f>
        <x:v>No</x:v>
      </x:c>
    </x:row>
    <x:row r="13" ht="43" customHeight="1">
      <x:c r="A13" s="62" t="str">
        <x:v>S01-09</x:v>
      </x:c>
      <x:c r="B13" s="63" t="str">
        <x:v>01_Project_Nova_Control_Text.pdf</x:v>
      </x:c>
      <x:c r="C13" s="63" t="str">
        <x:v>Page 1</x:v>
      </x:c>
      <x:c r="D13" s="63" t="str">
        <x:v>Licence cost</x:v>
      </x:c>
      <x:c r="E13" s="63" t="str"/>
      <x:c r="F13" s="63" t="str">
        <x:v>Not assessed</x:v>
      </x:c>
      <x:c r="G13" s="63" t="str">
        <x:v>Clean text control</x:v>
      </x:c>
      <x:c r="H13" s="63" t="str">
        <x:v>EUR 1,250.00</x:v>
      </x:c>
      <x:c r="I13" s="63" t="str">
        <x:f>IF(E13="","Not run",IF(EXACT(E13,H13),"Match","Review"))</x:f>
        <x:v>Not run</x:v>
      </x:c>
      <x:c r="J13" s="63" t="str">
        <x:v>Not assessed</x:v>
      </x:c>
      <x:c r="K13" s="63" t="str">
        <x:v>Not reviewed</x:v>
      </x:c>
      <x:c r="L13" s="63" t="str"/>
      <x:c r="M13" s="63" t="str"/>
      <x:c r="N13" s="64" t="str">
        <x:f>IF(AND(I13="Match",K13="Human approved"),"Yes","No")</x:f>
        <x:v>No</x:v>
      </x:c>
    </x:row>
    <x:row r="14" ht="43" customHeight="1">
      <x:c r="A14" s="62" t="str">
        <x:v>S01-10</x:v>
      </x:c>
      <x:c r="B14" s="63" t="str">
        <x:v>01_Project_Nova_Control_Text.pdf</x:v>
      </x:c>
      <x:c r="C14" s="63" t="str">
        <x:v>Page 1</x:v>
      </x:c>
      <x:c r="D14" s="63" t="str">
        <x:v>Approver</x:v>
      </x:c>
      <x:c r="E14" s="63" t="str"/>
      <x:c r="F14" s="63" t="str">
        <x:v>Not assessed</x:v>
      </x:c>
      <x:c r="G14" s="63" t="str">
        <x:v>Clean text control</x:v>
      </x:c>
      <x:c r="H14" s="63" t="str">
        <x:v>Priya Nair</x:v>
      </x:c>
      <x:c r="I14" s="63" t="str">
        <x:f>IF(E14="","Not run",IF(EXACT(E14,H14),"Match","Review"))</x:f>
        <x:v>Not run</x:v>
      </x:c>
      <x:c r="J14" s="63" t="str">
        <x:v>Not assessed</x:v>
      </x:c>
      <x:c r="K14" s="63" t="str">
        <x:v>Not reviewed</x:v>
      </x:c>
      <x:c r="L14" s="63" t="str"/>
      <x:c r="M14" s="63" t="str"/>
      <x:c r="N14" s="64" t="str">
        <x:f>IF(AND(I14="Match",K14="Human approved"),"Yes","No")</x:f>
        <x:v>No</x:v>
      </x:c>
    </x:row>
    <x:row r="15" ht="43" customHeight="1">
      <x:c r="A15" s="62" t="str">
        <x:v>S01-11</x:v>
      </x:c>
      <x:c r="B15" s="63" t="str">
        <x:v>01_Project_Nova_Control_Text.pdf</x:v>
      </x:c>
      <x:c r="C15" s="63" t="str">
        <x:v>Page 1</x:v>
      </x:c>
      <x:c r="D15" s="63" t="str">
        <x:v>Status</x:v>
      </x:c>
      <x:c r="E15" s="63" t="str"/>
      <x:c r="F15" s="63" t="str">
        <x:v>Not assessed</x:v>
      </x:c>
      <x:c r="G15" s="63" t="str">
        <x:v>Clean text control</x:v>
      </x:c>
      <x:c r="H15" s="63" t="str">
        <x:v>Approved with conditions</x:v>
      </x:c>
      <x:c r="I15" s="63" t="str">
        <x:f>IF(E15="","Not run",IF(EXACT(E15,H15),"Match","Review"))</x:f>
        <x:v>Not run</x:v>
      </x:c>
      <x:c r="J15" s="63" t="str">
        <x:v>Not assessed</x:v>
      </x:c>
      <x:c r="K15" s="63" t="str">
        <x:v>Not reviewed</x:v>
      </x:c>
      <x:c r="L15" s="63" t="str"/>
      <x:c r="M15" s="63" t="str"/>
      <x:c r="N15" s="64" t="str">
        <x:f>IF(AND(I15="Match",K15="Human approved"),"Yes","No")</x:f>
        <x:v>No</x:v>
      </x:c>
    </x:row>
    <x:row r="16" ht="43" customHeight="1">
      <x:c r="A16" s="62" t="str">
        <x:v>S01-12</x:v>
      </x:c>
      <x:c r="B16" s="63" t="str">
        <x:v>01_Project_Nova_Control_Text.pdf</x:v>
      </x:c>
      <x:c r="C16" s="63" t="str">
        <x:v>Page 1</x:v>
      </x:c>
      <x:c r="D16" s="63" t="str">
        <x:v>Manager approval</x:v>
      </x:c>
      <x:c r="E16" s="63" t="str"/>
      <x:c r="F16" s="63" t="str">
        <x:v>Not assessed</x:v>
      </x:c>
      <x:c r="G16" s="63" t="str">
        <x:v>Clean text control</x:v>
      </x:c>
      <x:c r="H16" s="63" t="str">
        <x:v>Yes</x:v>
      </x:c>
      <x:c r="I16" s="63" t="str">
        <x:f>IF(E16="","Not run",IF(EXACT(E16,H16),"Match","Review"))</x:f>
        <x:v>Not run</x:v>
      </x:c>
      <x:c r="J16" s="63" t="str">
        <x:v>Not assessed</x:v>
      </x:c>
      <x:c r="K16" s="63" t="str">
        <x:v>Not reviewed</x:v>
      </x:c>
      <x:c r="L16" s="63" t="str"/>
      <x:c r="M16" s="63" t="str"/>
      <x:c r="N16" s="64" t="str">
        <x:f>IF(AND(I16="Match",K16="Human approved"),"Yes","No")</x:f>
        <x:v>No</x:v>
      </x:c>
    </x:row>
    <x:row r="17" ht="43" customHeight="1">
      <x:c r="A17" s="62" t="str">
        <x:v>S01-13</x:v>
      </x:c>
      <x:c r="B17" s="63" t="str">
        <x:v>01_Project_Nova_Control_Text.pdf</x:v>
      </x:c>
      <x:c r="C17" s="63" t="str">
        <x:v>Page 1</x:v>
      </x:c>
      <x:c r="D17" s="63" t="str">
        <x:v>Security approval</x:v>
      </x:c>
      <x:c r="E17" s="63" t="str"/>
      <x:c r="F17" s="63" t="str">
        <x:v>Not assessed</x:v>
      </x:c>
      <x:c r="G17" s="63" t="str">
        <x:v>Clean text control</x:v>
      </x:c>
      <x:c r="H17" s="63" t="str">
        <x:v>Yes</x:v>
      </x:c>
      <x:c r="I17" s="63" t="str">
        <x:f>IF(E17="","Not run",IF(EXACT(E17,H17),"Match","Review"))</x:f>
        <x:v>Not run</x:v>
      </x:c>
      <x:c r="J17" s="63" t="str">
        <x:v>Not assessed</x:v>
      </x:c>
      <x:c r="K17" s="63" t="str">
        <x:v>Not reviewed</x:v>
      </x:c>
      <x:c r="L17" s="63" t="str"/>
      <x:c r="M17" s="63" t="str"/>
      <x:c r="N17" s="64" t="str">
        <x:f>IF(AND(I17="Match",K17="Human approved"),"Yes","No")</x:f>
        <x:v>No</x:v>
      </x:c>
    </x:row>
    <x:row r="18" ht="43" customHeight="1">
      <x:c r="A18" s="62" t="str">
        <x:v>S01-14</x:v>
      </x:c>
      <x:c r="B18" s="63" t="str">
        <x:v>01_Project_Nova_Control_Text.pdf</x:v>
      </x:c>
      <x:c r="C18" s="63" t="str">
        <x:v>Page 1</x:v>
      </x:c>
      <x:c r="D18" s="63" t="str">
        <x:v>MFA required</x:v>
      </x:c>
      <x:c r="E18" s="63" t="str"/>
      <x:c r="F18" s="63" t="str">
        <x:v>Not assessed</x:v>
      </x:c>
      <x:c r="G18" s="63" t="str">
        <x:v>Clean text control</x:v>
      </x:c>
      <x:c r="H18" s="63" t="str">
        <x:v>Yes</x:v>
      </x:c>
      <x:c r="I18" s="63" t="str">
        <x:f>IF(E18="","Not run",IF(EXACT(E18,H18),"Match","Review"))</x:f>
        <x:v>Not run</x:v>
      </x:c>
      <x:c r="J18" s="63" t="str">
        <x:v>Not assessed</x:v>
      </x:c>
      <x:c r="K18" s="63" t="str">
        <x:v>Not reviewed</x:v>
      </x:c>
      <x:c r="L18" s="63" t="str"/>
      <x:c r="M18" s="63" t="str"/>
      <x:c r="N18" s="64" t="str">
        <x:f>IF(AND(I18="Match",K18="Human approved"),"Yes","No")</x:f>
        <x:v>No</x:v>
      </x:c>
    </x:row>
    <x:row r="19" ht="43" customHeight="1">
      <x:c r="A19" s="62" t="str">
        <x:v>S01-15</x:v>
      </x:c>
      <x:c r="B19" s="63" t="str">
        <x:v>01_Project_Nova_Control_Text.pdf</x:v>
      </x:c>
      <x:c r="C19" s="63" t="str">
        <x:v>Page 1</x:v>
      </x:c>
      <x:c r="D19" s="63" t="str">
        <x:v>Privileged access</x:v>
      </x:c>
      <x:c r="E19" s="63" t="str"/>
      <x:c r="F19" s="63" t="str">
        <x:v>Not assessed</x:v>
      </x:c>
      <x:c r="G19" s="63" t="str">
        <x:v>Clean text control</x:v>
      </x:c>
      <x:c r="H19" s="63" t="str">
        <x:v>Yes</x:v>
      </x:c>
      <x:c r="I19" s="63" t="str">
        <x:f>IF(E19="","Not run",IF(EXACT(E19,H19),"Match","Review"))</x:f>
        <x:v>Not run</x:v>
      </x:c>
      <x:c r="J19" s="63" t="str">
        <x:v>Not assessed</x:v>
      </x:c>
      <x:c r="K19" s="63" t="str">
        <x:v>Not reviewed</x:v>
      </x:c>
      <x:c r="L19" s="63" t="str"/>
      <x:c r="M19" s="63" t="str"/>
      <x:c r="N19" s="64" t="str">
        <x:f>IF(AND(I19="Match",K19="Human approved"),"Yes","No")</x:f>
        <x:v>No</x:v>
      </x:c>
    </x:row>
    <x:row r="20" ht="43" customHeight="1">
      <x:c r="A20" s="62" t="str">
        <x:v>S01-16</x:v>
      </x:c>
      <x:c r="B20" s="63" t="str">
        <x:v>01_Project_Nova_Control_Text.pdf</x:v>
      </x:c>
      <x:c r="C20" s="63" t="str">
        <x:v>Page 1</x:v>
      </x:c>
      <x:c r="D20" s="63" t="str">
        <x:v>Handwritten proposed end date</x:v>
      </x:c>
      <x:c r="E20" s="63" t="str"/>
      <x:c r="F20" s="63" t="str">
        <x:v>Not assessed</x:v>
      </x:c>
      <x:c r="G20" s="63" t="str">
        <x:v>Clean text control</x:v>
      </x:c>
      <x:c r="H20" s="63" t="str">
        <x:v>Not confirmed</x:v>
      </x:c>
      <x:c r="I20" s="63" t="str">
        <x:f>IF(E20="","Not run",IF(EXACT(E20,H20),"Match","Review"))</x:f>
        <x:v>Not run</x:v>
      </x:c>
      <x:c r="J20" s="63" t="str">
        <x:v>Not assessed</x:v>
      </x:c>
      <x:c r="K20" s="63" t="str">
        <x:v>Not reviewed</x:v>
      </x:c>
      <x:c r="L20" s="63" t="str"/>
      <x:c r="M20" s="63" t="str"/>
      <x:c r="N20" s="64" t="str">
        <x:f>IF(AND(I20="Match",K20="Human approved"),"Yes","No")</x:f>
        <x:v>No</x:v>
      </x:c>
    </x:row>
    <x:row r="21" ht="43" customHeight="1">
      <x:c r="A21" s="62" t="str">
        <x:v>S02-01</x:v>
      </x:c>
      <x:c r="B21" s="63" t="str">
        <x:v>02_Project_Nova_Clear_Scan.png</x:v>
      </x:c>
      <x:c r="C21" s="63" t="str">
        <x:v>Full page</x:v>
      </x:c>
      <x:c r="D21" s="63" t="str">
        <x:v>Request ID</x:v>
      </x:c>
      <x:c r="E21" s="63" t="str"/>
      <x:c r="F21" s="63" t="str">
        <x:v>Not assessed</x:v>
      </x:c>
      <x:c r="G21" s="63" t="str">
        <x:v>Clear image</x:v>
      </x:c>
      <x:c r="H21" s="63" t="str">
        <x:v>AR-2048</x:v>
      </x:c>
      <x:c r="I21" s="63" t="str">
        <x:f>IF(E21="","Not run",IF(EXACT(E21,H21),"Match","Review"))</x:f>
        <x:v>Not run</x:v>
      </x:c>
      <x:c r="J21" s="63" t="str">
        <x:v>Not assessed</x:v>
      </x:c>
      <x:c r="K21" s="63" t="str">
        <x:v>Not reviewed</x:v>
      </x:c>
      <x:c r="L21" s="63" t="str"/>
      <x:c r="M21" s="63" t="str"/>
      <x:c r="N21" s="64" t="str">
        <x:f>IF(AND(I21="Match",K21="Human approved"),"Yes","No")</x:f>
        <x:v>No</x:v>
      </x:c>
    </x:row>
    <x:row r="22" ht="43" customHeight="1">
      <x:c r="A22" s="62" t="str">
        <x:v>S02-02</x:v>
      </x:c>
      <x:c r="B22" s="63" t="str">
        <x:v>02_Project_Nova_Clear_Scan.png</x:v>
      </x:c>
      <x:c r="C22" s="63" t="str">
        <x:v>Full page</x:v>
      </x:c>
      <x:c r="D22" s="63" t="str">
        <x:v>Requester</x:v>
      </x:c>
      <x:c r="E22" s="63" t="str"/>
      <x:c r="F22" s="63" t="str">
        <x:v>Not assessed</x:v>
      </x:c>
      <x:c r="G22" s="63" t="str">
        <x:v>Clear image</x:v>
      </x:c>
      <x:c r="H22" s="63" t="str">
        <x:v>Mika Olsen</x:v>
      </x:c>
      <x:c r="I22" s="63" t="str">
        <x:f>IF(E22="","Not run",IF(EXACT(E22,H22),"Match","Review"))</x:f>
        <x:v>Not run</x:v>
      </x:c>
      <x:c r="J22" s="63" t="str">
        <x:v>Not assessed</x:v>
      </x:c>
      <x:c r="K22" s="63" t="str">
        <x:v>Not reviewed</x:v>
      </x:c>
      <x:c r="L22" s="63" t="str"/>
      <x:c r="M22" s="63" t="str"/>
      <x:c r="N22" s="64" t="str">
        <x:f>IF(AND(I22="Match",K22="Human approved"),"Yes","No")</x:f>
        <x:v>No</x:v>
      </x:c>
    </x:row>
    <x:row r="23" ht="43" customHeight="1">
      <x:c r="A23" s="62" t="str">
        <x:v>S02-03</x:v>
      </x:c>
      <x:c r="B23" s="63" t="str">
        <x:v>02_Project_Nova_Clear_Scan.png</x:v>
      </x:c>
      <x:c r="C23" s="63" t="str">
        <x:v>Full page</x:v>
      </x:c>
      <x:c r="D23" s="63" t="str">
        <x:v>Business unit</x:v>
      </x:c>
      <x:c r="E23" s="63" t="str"/>
      <x:c r="F23" s="63" t="str">
        <x:v>Not assessed</x:v>
      </x:c>
      <x:c r="G23" s="63" t="str">
        <x:v>Clear image</x:v>
      </x:c>
      <x:c r="H23" s="63" t="str">
        <x:v>Finance Operations</x:v>
      </x:c>
      <x:c r="I23" s="63" t="str">
        <x:f>IF(E23="","Not run",IF(EXACT(E23,H23),"Match","Review"))</x:f>
        <x:v>Not run</x:v>
      </x:c>
      <x:c r="J23" s="63" t="str">
        <x:v>Not assessed</x:v>
      </x:c>
      <x:c r="K23" s="63" t="str">
        <x:v>Not reviewed</x:v>
      </x:c>
      <x:c r="L23" s="63" t="str"/>
      <x:c r="M23" s="63" t="str"/>
      <x:c r="N23" s="64" t="str">
        <x:f>IF(AND(I23="Match",K23="Human approved"),"Yes","No")</x:f>
        <x:v>No</x:v>
      </x:c>
    </x:row>
    <x:row r="24" ht="43" customHeight="1">
      <x:c r="A24" s="62" t="str">
        <x:v>S02-04</x:v>
      </x:c>
      <x:c r="B24" s="63" t="str">
        <x:v>02_Project_Nova_Clear_Scan.png</x:v>
      </x:c>
      <x:c r="C24" s="63" t="str">
        <x:v>Full page</x:v>
      </x:c>
      <x:c r="D24" s="63" t="str">
        <x:v>Access type</x:v>
      </x:c>
      <x:c r="E24" s="63" t="str"/>
      <x:c r="F24" s="63" t="str">
        <x:v>Not assessed</x:v>
      </x:c>
      <x:c r="G24" s="63" t="str">
        <x:v>Clear image</x:v>
      </x:c>
      <x:c r="H24" s="63" t="str">
        <x:v>FinanceHub Approver</x:v>
      </x:c>
      <x:c r="I24" s="63" t="str">
        <x:f>IF(E24="","Not run",IF(EXACT(E24,H24),"Match","Review"))</x:f>
        <x:v>Not run</x:v>
      </x:c>
      <x:c r="J24" s="63" t="str">
        <x:v>Not assessed</x:v>
      </x:c>
      <x:c r="K24" s="63" t="str">
        <x:v>Not reviewed</x:v>
      </x:c>
      <x:c r="L24" s="63" t="str"/>
      <x:c r="M24" s="63" t="str"/>
      <x:c r="N24" s="64" t="str">
        <x:f>IF(AND(I24="Match",K24="Human approved"),"Yes","No")</x:f>
        <x:v>No</x:v>
      </x:c>
    </x:row>
    <x:row r="25" ht="43" customHeight="1">
      <x:c r="A25" s="62" t="str">
        <x:v>S02-05</x:v>
      </x:c>
      <x:c r="B25" s="63" t="str">
        <x:v>02_Project_Nova_Clear_Scan.png</x:v>
      </x:c>
      <x:c r="C25" s="63" t="str">
        <x:v>Full page</x:v>
      </x:c>
      <x:c r="D25" s="63" t="str">
        <x:v>Environment</x:v>
      </x:c>
      <x:c r="E25" s="63" t="str"/>
      <x:c r="F25" s="63" t="str">
        <x:v>Not assessed</x:v>
      </x:c>
      <x:c r="G25" s="63" t="str">
        <x:v>Clear image</x:v>
      </x:c>
      <x:c r="H25" s="63" t="str">
        <x:v>Production</x:v>
      </x:c>
      <x:c r="I25" s="63" t="str">
        <x:f>IF(E25="","Not run",IF(EXACT(E25,H25),"Match","Review"))</x:f>
        <x:v>Not run</x:v>
      </x:c>
      <x:c r="J25" s="63" t="str">
        <x:v>Not assessed</x:v>
      </x:c>
      <x:c r="K25" s="63" t="str">
        <x:v>Not reviewed</x:v>
      </x:c>
      <x:c r="L25" s="63" t="str"/>
      <x:c r="M25" s="63" t="str"/>
      <x:c r="N25" s="64" t="str">
        <x:f>IF(AND(I25="Match",K25="Human approved"),"Yes","No")</x:f>
        <x:v>No</x:v>
      </x:c>
    </x:row>
    <x:row r="26" ht="43" customHeight="1">
      <x:c r="A26" s="62" t="str">
        <x:v>S02-06</x:v>
      </x:c>
      <x:c r="B26" s="63" t="str">
        <x:v>02_Project_Nova_Clear_Scan.png</x:v>
      </x:c>
      <x:c r="C26" s="63" t="str">
        <x:v>Full page</x:v>
      </x:c>
      <x:c r="D26" s="63" t="str">
        <x:v>Effective date</x:v>
      </x:c>
      <x:c r="E26" s="63" t="str"/>
      <x:c r="F26" s="63" t="str">
        <x:v>Not assessed</x:v>
      </x:c>
      <x:c r="G26" s="63" t="str">
        <x:v>Clear image</x:v>
      </x:c>
      <x:c r="H26" s="63" t="str">
        <x:v>2026-09-15</x:v>
      </x:c>
      <x:c r="I26" s="63" t="str">
        <x:f>IF(E26="","Not run",IF(EXACT(E26,H26),"Match","Review"))</x:f>
        <x:v>Not run</x:v>
      </x:c>
      <x:c r="J26" s="63" t="str">
        <x:v>Not assessed</x:v>
      </x:c>
      <x:c r="K26" s="63" t="str">
        <x:v>Not reviewed</x:v>
      </x:c>
      <x:c r="L26" s="63" t="str"/>
      <x:c r="M26" s="63" t="str"/>
      <x:c r="N26" s="64" t="str">
        <x:f>IF(AND(I26="Match",K26="Human approved"),"Yes","No")</x:f>
        <x:v>No</x:v>
      </x:c>
    </x:row>
    <x:row r="27" ht="43" customHeight="1">
      <x:c r="A27" s="62" t="str">
        <x:v>S02-07</x:v>
      </x:c>
      <x:c r="B27" s="63" t="str">
        <x:v>02_Project_Nova_Clear_Scan.png</x:v>
      </x:c>
      <x:c r="C27" s="63" t="str">
        <x:v>Full page</x:v>
      </x:c>
      <x:c r="D27" s="63" t="str">
        <x:v>End date</x:v>
      </x:c>
      <x:c r="E27" s="63" t="str"/>
      <x:c r="F27" s="63" t="str">
        <x:v>Not assessed</x:v>
      </x:c>
      <x:c r="G27" s="63" t="str">
        <x:v>Clear image</x:v>
      </x:c>
      <x:c r="H27" s="63" t="str">
        <x:v>2026-12-31</x:v>
      </x:c>
      <x:c r="I27" s="63" t="str">
        <x:f>IF(E27="","Not run",IF(EXACT(E27,H27),"Match","Review"))</x:f>
        <x:v>Not run</x:v>
      </x:c>
      <x:c r="J27" s="63" t="str">
        <x:v>Not assessed</x:v>
      </x:c>
      <x:c r="K27" s="63" t="str">
        <x:v>Not reviewed</x:v>
      </x:c>
      <x:c r="L27" s="63" t="str"/>
      <x:c r="M27" s="63" t="str"/>
      <x:c r="N27" s="64" t="str">
        <x:f>IF(AND(I27="Match",K27="Human approved"),"Yes","No")</x:f>
        <x:v>No</x:v>
      </x:c>
    </x:row>
    <x:row r="28" ht="43" customHeight="1">
      <x:c r="A28" s="62" t="str">
        <x:v>S02-08</x:v>
      </x:c>
      <x:c r="B28" s="63" t="str">
        <x:v>02_Project_Nova_Clear_Scan.png</x:v>
      </x:c>
      <x:c r="C28" s="63" t="str">
        <x:v>Full page</x:v>
      </x:c>
      <x:c r="D28" s="63" t="str">
        <x:v>Cost centre</x:v>
      </x:c>
      <x:c r="E28" s="63" t="str"/>
      <x:c r="F28" s="63" t="str">
        <x:v>Not assessed</x:v>
      </x:c>
      <x:c r="G28" s="63" t="str">
        <x:v>Clear image</x:v>
      </x:c>
      <x:c r="H28" s="63" t="str">
        <x:v>CC-4710</x:v>
      </x:c>
      <x:c r="I28" s="63" t="str">
        <x:f>IF(E28="","Not run",IF(EXACT(E28,H28),"Match","Review"))</x:f>
        <x:v>Not run</x:v>
      </x:c>
      <x:c r="J28" s="63" t="str">
        <x:v>Not assessed</x:v>
      </x:c>
      <x:c r="K28" s="63" t="str">
        <x:v>Not reviewed</x:v>
      </x:c>
      <x:c r="L28" s="63" t="str"/>
      <x:c r="M28" s="63" t="str"/>
      <x:c r="N28" s="64" t="str">
        <x:f>IF(AND(I28="Match",K28="Human approved"),"Yes","No")</x:f>
        <x:v>No</x:v>
      </x:c>
    </x:row>
    <x:row r="29" ht="43" customHeight="1">
      <x:c r="A29" s="62" t="str">
        <x:v>S02-09</x:v>
      </x:c>
      <x:c r="B29" s="63" t="str">
        <x:v>02_Project_Nova_Clear_Scan.png</x:v>
      </x:c>
      <x:c r="C29" s="63" t="str">
        <x:v>Full page</x:v>
      </x:c>
      <x:c r="D29" s="63" t="str">
        <x:v>Licence cost</x:v>
      </x:c>
      <x:c r="E29" s="63" t="str"/>
      <x:c r="F29" s="63" t="str">
        <x:v>Not assessed</x:v>
      </x:c>
      <x:c r="G29" s="63" t="str">
        <x:v>Clear image</x:v>
      </x:c>
      <x:c r="H29" s="63" t="str">
        <x:v>EUR 1,250.00</x:v>
      </x:c>
      <x:c r="I29" s="63" t="str">
        <x:f>IF(E29="","Not run",IF(EXACT(E29,H29),"Match","Review"))</x:f>
        <x:v>Not run</x:v>
      </x:c>
      <x:c r="J29" s="63" t="str">
        <x:v>Not assessed</x:v>
      </x:c>
      <x:c r="K29" s="63" t="str">
        <x:v>Not reviewed</x:v>
      </x:c>
      <x:c r="L29" s="63" t="str"/>
      <x:c r="M29" s="63" t="str"/>
      <x:c r="N29" s="64" t="str">
        <x:f>IF(AND(I29="Match",K29="Human approved"),"Yes","No")</x:f>
        <x:v>No</x:v>
      </x:c>
    </x:row>
    <x:row r="30" ht="43" customHeight="1">
      <x:c r="A30" s="62" t="str">
        <x:v>S02-10</x:v>
      </x:c>
      <x:c r="B30" s="63" t="str">
        <x:v>02_Project_Nova_Clear_Scan.png</x:v>
      </x:c>
      <x:c r="C30" s="63" t="str">
        <x:v>Full page</x:v>
      </x:c>
      <x:c r="D30" s="63" t="str">
        <x:v>Approver</x:v>
      </x:c>
      <x:c r="E30" s="63" t="str"/>
      <x:c r="F30" s="63" t="str">
        <x:v>Not assessed</x:v>
      </x:c>
      <x:c r="G30" s="63" t="str">
        <x:v>Clear image</x:v>
      </x:c>
      <x:c r="H30" s="63" t="str">
        <x:v>Priya Nair</x:v>
      </x:c>
      <x:c r="I30" s="63" t="str">
        <x:f>IF(E30="","Not run",IF(EXACT(E30,H30),"Match","Review"))</x:f>
        <x:v>Not run</x:v>
      </x:c>
      <x:c r="J30" s="63" t="str">
        <x:v>Not assessed</x:v>
      </x:c>
      <x:c r="K30" s="63" t="str">
        <x:v>Not reviewed</x:v>
      </x:c>
      <x:c r="L30" s="63" t="str"/>
      <x:c r="M30" s="63" t="str"/>
      <x:c r="N30" s="64" t="str">
        <x:f>IF(AND(I30="Match",K30="Human approved"),"Yes","No")</x:f>
        <x:v>No</x:v>
      </x:c>
    </x:row>
    <x:row r="31" ht="43" customHeight="1">
      <x:c r="A31" s="62" t="str">
        <x:v>S02-11</x:v>
      </x:c>
      <x:c r="B31" s="63" t="str">
        <x:v>02_Project_Nova_Clear_Scan.png</x:v>
      </x:c>
      <x:c r="C31" s="63" t="str">
        <x:v>Full page</x:v>
      </x:c>
      <x:c r="D31" s="63" t="str">
        <x:v>Status</x:v>
      </x:c>
      <x:c r="E31" s="63" t="str"/>
      <x:c r="F31" s="63" t="str">
        <x:v>Not assessed</x:v>
      </x:c>
      <x:c r="G31" s="63" t="str">
        <x:v>Clear image</x:v>
      </x:c>
      <x:c r="H31" s="63" t="str">
        <x:v>Approved with conditions</x:v>
      </x:c>
      <x:c r="I31" s="63" t="str">
        <x:f>IF(E31="","Not run",IF(EXACT(E31,H31),"Match","Review"))</x:f>
        <x:v>Not run</x:v>
      </x:c>
      <x:c r="J31" s="63" t="str">
        <x:v>Not assessed</x:v>
      </x:c>
      <x:c r="K31" s="63" t="str">
        <x:v>Not reviewed</x:v>
      </x:c>
      <x:c r="L31" s="63" t="str"/>
      <x:c r="M31" s="63" t="str"/>
      <x:c r="N31" s="64" t="str">
        <x:f>IF(AND(I31="Match",K31="Human approved"),"Yes","No")</x:f>
        <x:v>No</x:v>
      </x:c>
    </x:row>
    <x:row r="32" ht="43" customHeight="1">
      <x:c r="A32" s="62" t="str">
        <x:v>S02-12</x:v>
      </x:c>
      <x:c r="B32" s="63" t="str">
        <x:v>02_Project_Nova_Clear_Scan.png</x:v>
      </x:c>
      <x:c r="C32" s="63" t="str">
        <x:v>Full page</x:v>
      </x:c>
      <x:c r="D32" s="63" t="str">
        <x:v>Manager approval</x:v>
      </x:c>
      <x:c r="E32" s="63" t="str"/>
      <x:c r="F32" s="63" t="str">
        <x:v>Not assessed</x:v>
      </x:c>
      <x:c r="G32" s="63" t="str">
        <x:v>Clear image</x:v>
      </x:c>
      <x:c r="H32" s="63" t="str">
        <x:v>Yes</x:v>
      </x:c>
      <x:c r="I32" s="63" t="str">
        <x:f>IF(E32="","Not run",IF(EXACT(E32,H32),"Match","Review"))</x:f>
        <x:v>Not run</x:v>
      </x:c>
      <x:c r="J32" s="63" t="str">
        <x:v>Not assessed</x:v>
      </x:c>
      <x:c r="K32" s="63" t="str">
        <x:v>Not reviewed</x:v>
      </x:c>
      <x:c r="L32" s="63" t="str"/>
      <x:c r="M32" s="63" t="str"/>
      <x:c r="N32" s="64" t="str">
        <x:f>IF(AND(I32="Match",K32="Human approved"),"Yes","No")</x:f>
        <x:v>No</x:v>
      </x:c>
    </x:row>
    <x:row r="33" ht="43" customHeight="1">
      <x:c r="A33" s="62" t="str">
        <x:v>S02-13</x:v>
      </x:c>
      <x:c r="B33" s="63" t="str">
        <x:v>02_Project_Nova_Clear_Scan.png</x:v>
      </x:c>
      <x:c r="C33" s="63" t="str">
        <x:v>Full page</x:v>
      </x:c>
      <x:c r="D33" s="63" t="str">
        <x:v>Security approval</x:v>
      </x:c>
      <x:c r="E33" s="63" t="str"/>
      <x:c r="F33" s="63" t="str">
        <x:v>Not assessed</x:v>
      </x:c>
      <x:c r="G33" s="63" t="str">
        <x:v>Clear image</x:v>
      </x:c>
      <x:c r="H33" s="63" t="str">
        <x:v>Yes</x:v>
      </x:c>
      <x:c r="I33" s="63" t="str">
        <x:f>IF(E33="","Not run",IF(EXACT(E33,H33),"Match","Review"))</x:f>
        <x:v>Not run</x:v>
      </x:c>
      <x:c r="J33" s="63" t="str">
        <x:v>Not assessed</x:v>
      </x:c>
      <x:c r="K33" s="63" t="str">
        <x:v>Not reviewed</x:v>
      </x:c>
      <x:c r="L33" s="63" t="str"/>
      <x:c r="M33" s="63" t="str"/>
      <x:c r="N33" s="64" t="str">
        <x:f>IF(AND(I33="Match",K33="Human approved"),"Yes","No")</x:f>
        <x:v>No</x:v>
      </x:c>
    </x:row>
    <x:row r="34" ht="43" customHeight="1">
      <x:c r="A34" s="62" t="str">
        <x:v>S02-14</x:v>
      </x:c>
      <x:c r="B34" s="63" t="str">
        <x:v>02_Project_Nova_Clear_Scan.png</x:v>
      </x:c>
      <x:c r="C34" s="63" t="str">
        <x:v>Full page</x:v>
      </x:c>
      <x:c r="D34" s="63" t="str">
        <x:v>MFA required</x:v>
      </x:c>
      <x:c r="E34" s="63" t="str"/>
      <x:c r="F34" s="63" t="str">
        <x:v>Not assessed</x:v>
      </x:c>
      <x:c r="G34" s="63" t="str">
        <x:v>Clear image</x:v>
      </x:c>
      <x:c r="H34" s="63" t="str">
        <x:v>Yes</x:v>
      </x:c>
      <x:c r="I34" s="63" t="str">
        <x:f>IF(E34="","Not run",IF(EXACT(E34,H34),"Match","Review"))</x:f>
        <x:v>Not run</x:v>
      </x:c>
      <x:c r="J34" s="63" t="str">
        <x:v>Not assessed</x:v>
      </x:c>
      <x:c r="K34" s="63" t="str">
        <x:v>Not reviewed</x:v>
      </x:c>
      <x:c r="L34" s="63" t="str"/>
      <x:c r="M34" s="63" t="str"/>
      <x:c r="N34" s="64" t="str">
        <x:f>IF(AND(I34="Match",K34="Human approved"),"Yes","No")</x:f>
        <x:v>No</x:v>
      </x:c>
    </x:row>
    <x:row r="35" ht="43" customHeight="1">
      <x:c r="A35" s="62" t="str">
        <x:v>S02-15</x:v>
      </x:c>
      <x:c r="B35" s="63" t="str">
        <x:v>02_Project_Nova_Clear_Scan.png</x:v>
      </x:c>
      <x:c r="C35" s="63" t="str">
        <x:v>Full page</x:v>
      </x:c>
      <x:c r="D35" s="63" t="str">
        <x:v>Privileged access</x:v>
      </x:c>
      <x:c r="E35" s="63" t="str"/>
      <x:c r="F35" s="63" t="str">
        <x:v>Not assessed</x:v>
      </x:c>
      <x:c r="G35" s="63" t="str">
        <x:v>Clear image</x:v>
      </x:c>
      <x:c r="H35" s="63" t="str">
        <x:v>Yes</x:v>
      </x:c>
      <x:c r="I35" s="63" t="str">
        <x:f>IF(E35="","Not run",IF(EXACT(E35,H35),"Match","Review"))</x:f>
        <x:v>Not run</x:v>
      </x:c>
      <x:c r="J35" s="63" t="str">
        <x:v>Not assessed</x:v>
      </x:c>
      <x:c r="K35" s="63" t="str">
        <x:v>Not reviewed</x:v>
      </x:c>
      <x:c r="L35" s="63" t="str"/>
      <x:c r="M35" s="63" t="str"/>
      <x:c r="N35" s="64" t="str">
        <x:f>IF(AND(I35="Match",K35="Human approved"),"Yes","No")</x:f>
        <x:v>No</x:v>
      </x:c>
    </x:row>
    <x:row r="36" ht="43" customHeight="1">
      <x:c r="A36" s="62" t="str">
        <x:v>S02-16</x:v>
      </x:c>
      <x:c r="B36" s="63" t="str">
        <x:v>02_Project_Nova_Clear_Scan.png</x:v>
      </x:c>
      <x:c r="C36" s="63" t="str">
        <x:v>Full page</x:v>
      </x:c>
      <x:c r="D36" s="63" t="str">
        <x:v>Handwritten proposed end date</x:v>
      </x:c>
      <x:c r="E36" s="63" t="str"/>
      <x:c r="F36" s="63" t="str">
        <x:v>Not assessed</x:v>
      </x:c>
      <x:c r="G36" s="63" t="str">
        <x:v>Clear image</x:v>
      </x:c>
      <x:c r="H36" s="63" t="str">
        <x:v>Not confirmed</x:v>
      </x:c>
      <x:c r="I36" s="63" t="str">
        <x:f>IF(E36="","Not run",IF(EXACT(E36,H36),"Match","Review"))</x:f>
        <x:v>Not run</x:v>
      </x:c>
      <x:c r="J36" s="63" t="str">
        <x:v>Not assessed</x:v>
      </x:c>
      <x:c r="K36" s="63" t="str">
        <x:v>Not reviewed</x:v>
      </x:c>
      <x:c r="L36" s="63" t="str"/>
      <x:c r="M36" s="63" t="str"/>
      <x:c r="N36" s="64" t="str">
        <x:f>IF(AND(I36="Match",K36="Human approved"),"Yes","No")</x:f>
        <x:v>No</x:v>
      </x:c>
    </x:row>
    <x:row r="37" ht="43" customHeight="1">
      <x:c r="A37" s="62" t="str">
        <x:v>S03-01</x:v>
      </x:c>
      <x:c r="B37" s="63" t="str">
        <x:v>03_Project_Nova_Low_Resolution_Scan.jpg</x:v>
      </x:c>
      <x:c r="C37" s="63" t="str">
        <x:v>Full page</x:v>
      </x:c>
      <x:c r="D37" s="63" t="str">
        <x:v>Request ID</x:v>
      </x:c>
      <x:c r="E37" s="63" t="str"/>
      <x:c r="F37" s="63" t="str">
        <x:v>Not assessed</x:v>
      </x:c>
      <x:c r="G37" s="63" t="str">
        <x:v>Blur, compression and character confusion</x:v>
      </x:c>
      <x:c r="H37" s="63" t="str">
        <x:v>AR-2048</x:v>
      </x:c>
      <x:c r="I37" s="63" t="str">
        <x:f>IF(E37="","Not run",IF(EXACT(E37,H37),"Match","Review"))</x:f>
        <x:v>Not run</x:v>
      </x:c>
      <x:c r="J37" s="63" t="str">
        <x:v>Not assessed</x:v>
      </x:c>
      <x:c r="K37" s="63" t="str">
        <x:v>Not reviewed</x:v>
      </x:c>
      <x:c r="L37" s="63" t="str"/>
      <x:c r="M37" s="63" t="str"/>
      <x:c r="N37" s="64" t="str">
        <x:f>IF(AND(I37="Match",K37="Human approved"),"Yes","No")</x:f>
        <x:v>No</x:v>
      </x:c>
    </x:row>
    <x:row r="38" ht="43" customHeight="1">
      <x:c r="A38" s="62" t="str">
        <x:v>S03-02</x:v>
      </x:c>
      <x:c r="B38" s="63" t="str">
        <x:v>03_Project_Nova_Low_Resolution_Scan.jpg</x:v>
      </x:c>
      <x:c r="C38" s="63" t="str">
        <x:v>Full page</x:v>
      </x:c>
      <x:c r="D38" s="63" t="str">
        <x:v>Requester</x:v>
      </x:c>
      <x:c r="E38" s="63" t="str"/>
      <x:c r="F38" s="63" t="str">
        <x:v>Not assessed</x:v>
      </x:c>
      <x:c r="G38" s="63" t="str">
        <x:v>Blur, compression and character confusion</x:v>
      </x:c>
      <x:c r="H38" s="63" t="str">
        <x:v>Mika Olsen</x:v>
      </x:c>
      <x:c r="I38" s="63" t="str">
        <x:f>IF(E38="","Not run",IF(EXACT(E38,H38),"Match","Review"))</x:f>
        <x:v>Not run</x:v>
      </x:c>
      <x:c r="J38" s="63" t="str">
        <x:v>Not assessed</x:v>
      </x:c>
      <x:c r="K38" s="63" t="str">
        <x:v>Not reviewed</x:v>
      </x:c>
      <x:c r="L38" s="63" t="str"/>
      <x:c r="M38" s="63" t="str"/>
      <x:c r="N38" s="64" t="str">
        <x:f>IF(AND(I38="Match",K38="Human approved"),"Yes","No")</x:f>
        <x:v>No</x:v>
      </x:c>
    </x:row>
    <x:row r="39" ht="43" customHeight="1">
      <x:c r="A39" s="62" t="str">
        <x:v>S03-03</x:v>
      </x:c>
      <x:c r="B39" s="63" t="str">
        <x:v>03_Project_Nova_Low_Resolution_Scan.jpg</x:v>
      </x:c>
      <x:c r="C39" s="63" t="str">
        <x:v>Full page</x:v>
      </x:c>
      <x:c r="D39" s="63" t="str">
        <x:v>Business unit</x:v>
      </x:c>
      <x:c r="E39" s="63" t="str"/>
      <x:c r="F39" s="63" t="str">
        <x:v>Not assessed</x:v>
      </x:c>
      <x:c r="G39" s="63" t="str">
        <x:v>Blur, compression and character confusion</x:v>
      </x:c>
      <x:c r="H39" s="63" t="str">
        <x:v>Finance Operations</x:v>
      </x:c>
      <x:c r="I39" s="63" t="str">
        <x:f>IF(E39="","Not run",IF(EXACT(E39,H39),"Match","Review"))</x:f>
        <x:v>Not run</x:v>
      </x:c>
      <x:c r="J39" s="63" t="str">
        <x:v>Not assessed</x:v>
      </x:c>
      <x:c r="K39" s="63" t="str">
        <x:v>Not reviewed</x:v>
      </x:c>
      <x:c r="L39" s="63" t="str"/>
      <x:c r="M39" s="63" t="str"/>
      <x:c r="N39" s="64" t="str">
        <x:f>IF(AND(I39="Match",K39="Human approved"),"Yes","No")</x:f>
        <x:v>No</x:v>
      </x:c>
    </x:row>
    <x:row r="40" ht="43" customHeight="1">
      <x:c r="A40" s="62" t="str">
        <x:v>S03-04</x:v>
      </x:c>
      <x:c r="B40" s="63" t="str">
        <x:v>03_Project_Nova_Low_Resolution_Scan.jpg</x:v>
      </x:c>
      <x:c r="C40" s="63" t="str">
        <x:v>Full page</x:v>
      </x:c>
      <x:c r="D40" s="63" t="str">
        <x:v>Access type</x:v>
      </x:c>
      <x:c r="E40" s="63" t="str"/>
      <x:c r="F40" s="63" t="str">
        <x:v>Not assessed</x:v>
      </x:c>
      <x:c r="G40" s="63" t="str">
        <x:v>Blur, compression and character confusion</x:v>
      </x:c>
      <x:c r="H40" s="63" t="str">
        <x:v>FinanceHub Approver</x:v>
      </x:c>
      <x:c r="I40" s="63" t="str">
        <x:f>IF(E40="","Not run",IF(EXACT(E40,H40),"Match","Review"))</x:f>
        <x:v>Not run</x:v>
      </x:c>
      <x:c r="J40" s="63" t="str">
        <x:v>Not assessed</x:v>
      </x:c>
      <x:c r="K40" s="63" t="str">
        <x:v>Not reviewed</x:v>
      </x:c>
      <x:c r="L40" s="63" t="str"/>
      <x:c r="M40" s="63" t="str"/>
      <x:c r="N40" s="64" t="str">
        <x:f>IF(AND(I40="Match",K40="Human approved"),"Yes","No")</x:f>
        <x:v>No</x:v>
      </x:c>
    </x:row>
    <x:row r="41" ht="43" customHeight="1">
      <x:c r="A41" s="62" t="str">
        <x:v>S03-05</x:v>
      </x:c>
      <x:c r="B41" s="63" t="str">
        <x:v>03_Project_Nova_Low_Resolution_Scan.jpg</x:v>
      </x:c>
      <x:c r="C41" s="63" t="str">
        <x:v>Full page</x:v>
      </x:c>
      <x:c r="D41" s="63" t="str">
        <x:v>Environment</x:v>
      </x:c>
      <x:c r="E41" s="63" t="str"/>
      <x:c r="F41" s="63" t="str">
        <x:v>Not assessed</x:v>
      </x:c>
      <x:c r="G41" s="63" t="str">
        <x:v>Blur, compression and character confusion</x:v>
      </x:c>
      <x:c r="H41" s="63" t="str">
        <x:v>Production</x:v>
      </x:c>
      <x:c r="I41" s="63" t="str">
        <x:f>IF(E41="","Not run",IF(EXACT(E41,H41),"Match","Review"))</x:f>
        <x:v>Not run</x:v>
      </x:c>
      <x:c r="J41" s="63" t="str">
        <x:v>Not assessed</x:v>
      </x:c>
      <x:c r="K41" s="63" t="str">
        <x:v>Not reviewed</x:v>
      </x:c>
      <x:c r="L41" s="63" t="str"/>
      <x:c r="M41" s="63" t="str"/>
      <x:c r="N41" s="64" t="str">
        <x:f>IF(AND(I41="Match",K41="Human approved"),"Yes","No")</x:f>
        <x:v>No</x:v>
      </x:c>
    </x:row>
    <x:row r="42" ht="43" customHeight="1">
      <x:c r="A42" s="62" t="str">
        <x:v>S03-06</x:v>
      </x:c>
      <x:c r="B42" s="63" t="str">
        <x:v>03_Project_Nova_Low_Resolution_Scan.jpg</x:v>
      </x:c>
      <x:c r="C42" s="63" t="str">
        <x:v>Full page</x:v>
      </x:c>
      <x:c r="D42" s="63" t="str">
        <x:v>Effective date</x:v>
      </x:c>
      <x:c r="E42" s="63" t="str"/>
      <x:c r="F42" s="63" t="str">
        <x:v>Not assessed</x:v>
      </x:c>
      <x:c r="G42" s="63" t="str">
        <x:v>Blur, compression and character confusion</x:v>
      </x:c>
      <x:c r="H42" s="63" t="str">
        <x:v>2026-09-15</x:v>
      </x:c>
      <x:c r="I42" s="63" t="str">
        <x:f>IF(E42="","Not run",IF(EXACT(E42,H42),"Match","Review"))</x:f>
        <x:v>Not run</x:v>
      </x:c>
      <x:c r="J42" s="63" t="str">
        <x:v>Not assessed</x:v>
      </x:c>
      <x:c r="K42" s="63" t="str">
        <x:v>Not reviewed</x:v>
      </x:c>
      <x:c r="L42" s="63" t="str"/>
      <x:c r="M42" s="63" t="str"/>
      <x:c r="N42" s="64" t="str">
        <x:f>IF(AND(I42="Match",K42="Human approved"),"Yes","No")</x:f>
        <x:v>No</x:v>
      </x:c>
    </x:row>
    <x:row r="43" ht="43" customHeight="1">
      <x:c r="A43" s="62" t="str">
        <x:v>S03-07</x:v>
      </x:c>
      <x:c r="B43" s="63" t="str">
        <x:v>03_Project_Nova_Low_Resolution_Scan.jpg</x:v>
      </x:c>
      <x:c r="C43" s="63" t="str">
        <x:v>Full page</x:v>
      </x:c>
      <x:c r="D43" s="63" t="str">
        <x:v>End date</x:v>
      </x:c>
      <x:c r="E43" s="63" t="str"/>
      <x:c r="F43" s="63" t="str">
        <x:v>Not assessed</x:v>
      </x:c>
      <x:c r="G43" s="63" t="str">
        <x:v>Blur, compression and character confusion</x:v>
      </x:c>
      <x:c r="H43" s="63" t="str">
        <x:v>2026-12-31</x:v>
      </x:c>
      <x:c r="I43" s="63" t="str">
        <x:f>IF(E43="","Not run",IF(EXACT(E43,H43),"Match","Review"))</x:f>
        <x:v>Not run</x:v>
      </x:c>
      <x:c r="J43" s="63" t="str">
        <x:v>Not assessed</x:v>
      </x:c>
      <x:c r="K43" s="63" t="str">
        <x:v>Not reviewed</x:v>
      </x:c>
      <x:c r="L43" s="63" t="str"/>
      <x:c r="M43" s="63" t="str"/>
      <x:c r="N43" s="64" t="str">
        <x:f>IF(AND(I43="Match",K43="Human approved"),"Yes","No")</x:f>
        <x:v>No</x:v>
      </x:c>
    </x:row>
    <x:row r="44" ht="43" customHeight="1">
      <x:c r="A44" s="62" t="str">
        <x:v>S03-08</x:v>
      </x:c>
      <x:c r="B44" s="63" t="str">
        <x:v>03_Project_Nova_Low_Resolution_Scan.jpg</x:v>
      </x:c>
      <x:c r="C44" s="63" t="str">
        <x:v>Full page</x:v>
      </x:c>
      <x:c r="D44" s="63" t="str">
        <x:v>Cost centre</x:v>
      </x:c>
      <x:c r="E44" s="63" t="str"/>
      <x:c r="F44" s="63" t="str">
        <x:v>Not assessed</x:v>
      </x:c>
      <x:c r="G44" s="63" t="str">
        <x:v>Blur, compression and character confusion</x:v>
      </x:c>
      <x:c r="H44" s="63" t="str">
        <x:v>CC-4710</x:v>
      </x:c>
      <x:c r="I44" s="63" t="str">
        <x:f>IF(E44="","Not run",IF(EXACT(E44,H44),"Match","Review"))</x:f>
        <x:v>Not run</x:v>
      </x:c>
      <x:c r="J44" s="63" t="str">
        <x:v>Not assessed</x:v>
      </x:c>
      <x:c r="K44" s="63" t="str">
        <x:v>Not reviewed</x:v>
      </x:c>
      <x:c r="L44" s="63" t="str"/>
      <x:c r="M44" s="63" t="str"/>
      <x:c r="N44" s="64" t="str">
        <x:f>IF(AND(I44="Match",K44="Human approved"),"Yes","No")</x:f>
        <x:v>No</x:v>
      </x:c>
    </x:row>
    <x:row r="45" ht="43" customHeight="1">
      <x:c r="A45" s="62" t="str">
        <x:v>S03-09</x:v>
      </x:c>
      <x:c r="B45" s="63" t="str">
        <x:v>03_Project_Nova_Low_Resolution_Scan.jpg</x:v>
      </x:c>
      <x:c r="C45" s="63" t="str">
        <x:v>Full page</x:v>
      </x:c>
      <x:c r="D45" s="63" t="str">
        <x:v>Licence cost</x:v>
      </x:c>
      <x:c r="E45" s="63" t="str"/>
      <x:c r="F45" s="63" t="str">
        <x:v>Not assessed</x:v>
      </x:c>
      <x:c r="G45" s="63" t="str">
        <x:v>Blur, compression and character confusion</x:v>
      </x:c>
      <x:c r="H45" s="63" t="str">
        <x:v>EUR 1,250.00</x:v>
      </x:c>
      <x:c r="I45" s="63" t="str">
        <x:f>IF(E45="","Not run",IF(EXACT(E45,H45),"Match","Review"))</x:f>
        <x:v>Not run</x:v>
      </x:c>
      <x:c r="J45" s="63" t="str">
        <x:v>Not assessed</x:v>
      </x:c>
      <x:c r="K45" s="63" t="str">
        <x:v>Not reviewed</x:v>
      </x:c>
      <x:c r="L45" s="63" t="str"/>
      <x:c r="M45" s="63" t="str"/>
      <x:c r="N45" s="64" t="str">
        <x:f>IF(AND(I45="Match",K45="Human approved"),"Yes","No")</x:f>
        <x:v>No</x:v>
      </x:c>
    </x:row>
    <x:row r="46" ht="43" customHeight="1">
      <x:c r="A46" s="62" t="str">
        <x:v>S03-10</x:v>
      </x:c>
      <x:c r="B46" s="63" t="str">
        <x:v>03_Project_Nova_Low_Resolution_Scan.jpg</x:v>
      </x:c>
      <x:c r="C46" s="63" t="str">
        <x:v>Full page</x:v>
      </x:c>
      <x:c r="D46" s="63" t="str">
        <x:v>Approver</x:v>
      </x:c>
      <x:c r="E46" s="63" t="str"/>
      <x:c r="F46" s="63" t="str">
        <x:v>Not assessed</x:v>
      </x:c>
      <x:c r="G46" s="63" t="str">
        <x:v>Blur, compression and character confusion</x:v>
      </x:c>
      <x:c r="H46" s="63" t="str">
        <x:v>Priya Nair</x:v>
      </x:c>
      <x:c r="I46" s="63" t="str">
        <x:f>IF(E46="","Not run",IF(EXACT(E46,H46),"Match","Review"))</x:f>
        <x:v>Not run</x:v>
      </x:c>
      <x:c r="J46" s="63" t="str">
        <x:v>Not assessed</x:v>
      </x:c>
      <x:c r="K46" s="63" t="str">
        <x:v>Not reviewed</x:v>
      </x:c>
      <x:c r="L46" s="63" t="str"/>
      <x:c r="M46" s="63" t="str"/>
      <x:c r="N46" s="64" t="str">
        <x:f>IF(AND(I46="Match",K46="Human approved"),"Yes","No")</x:f>
        <x:v>No</x:v>
      </x:c>
    </x:row>
    <x:row r="47" ht="43" customHeight="1">
      <x:c r="A47" s="62" t="str">
        <x:v>S03-11</x:v>
      </x:c>
      <x:c r="B47" s="63" t="str">
        <x:v>03_Project_Nova_Low_Resolution_Scan.jpg</x:v>
      </x:c>
      <x:c r="C47" s="63" t="str">
        <x:v>Full page</x:v>
      </x:c>
      <x:c r="D47" s="63" t="str">
        <x:v>Status</x:v>
      </x:c>
      <x:c r="E47" s="63" t="str"/>
      <x:c r="F47" s="63" t="str">
        <x:v>Not assessed</x:v>
      </x:c>
      <x:c r="G47" s="63" t="str">
        <x:v>Blur, compression and character confusion</x:v>
      </x:c>
      <x:c r="H47" s="63" t="str">
        <x:v>Approved with conditions</x:v>
      </x:c>
      <x:c r="I47" s="63" t="str">
        <x:f>IF(E47="","Not run",IF(EXACT(E47,H47),"Match","Review"))</x:f>
        <x:v>Not run</x:v>
      </x:c>
      <x:c r="J47" s="63" t="str">
        <x:v>Not assessed</x:v>
      </x:c>
      <x:c r="K47" s="63" t="str">
        <x:v>Not reviewed</x:v>
      </x:c>
      <x:c r="L47" s="63" t="str"/>
      <x:c r="M47" s="63" t="str"/>
      <x:c r="N47" s="64" t="str">
        <x:f>IF(AND(I47="Match",K47="Human approved"),"Yes","No")</x:f>
        <x:v>No</x:v>
      </x:c>
    </x:row>
    <x:row r="48" ht="43" customHeight="1">
      <x:c r="A48" s="62" t="str">
        <x:v>S03-12</x:v>
      </x:c>
      <x:c r="B48" s="63" t="str">
        <x:v>03_Project_Nova_Low_Resolution_Scan.jpg</x:v>
      </x:c>
      <x:c r="C48" s="63" t="str">
        <x:v>Full page</x:v>
      </x:c>
      <x:c r="D48" s="63" t="str">
        <x:v>Manager approval</x:v>
      </x:c>
      <x:c r="E48" s="63" t="str"/>
      <x:c r="F48" s="63" t="str">
        <x:v>Not assessed</x:v>
      </x:c>
      <x:c r="G48" s="63" t="str">
        <x:v>Blur, compression and character confusion</x:v>
      </x:c>
      <x:c r="H48" s="63" t="str">
        <x:v>Yes</x:v>
      </x:c>
      <x:c r="I48" s="63" t="str">
        <x:f>IF(E48="","Not run",IF(EXACT(E48,H48),"Match","Review"))</x:f>
        <x:v>Not run</x:v>
      </x:c>
      <x:c r="J48" s="63" t="str">
        <x:v>Not assessed</x:v>
      </x:c>
      <x:c r="K48" s="63" t="str">
        <x:v>Not reviewed</x:v>
      </x:c>
      <x:c r="L48" s="63" t="str"/>
      <x:c r="M48" s="63" t="str"/>
      <x:c r="N48" s="64" t="str">
        <x:f>IF(AND(I48="Match",K48="Human approved"),"Yes","No")</x:f>
        <x:v>No</x:v>
      </x:c>
    </x:row>
    <x:row r="49" ht="43" customHeight="1">
      <x:c r="A49" s="62" t="str">
        <x:v>S03-13</x:v>
      </x:c>
      <x:c r="B49" s="63" t="str">
        <x:v>03_Project_Nova_Low_Resolution_Scan.jpg</x:v>
      </x:c>
      <x:c r="C49" s="63" t="str">
        <x:v>Full page</x:v>
      </x:c>
      <x:c r="D49" s="63" t="str">
        <x:v>Security approval</x:v>
      </x:c>
      <x:c r="E49" s="63" t="str"/>
      <x:c r="F49" s="63" t="str">
        <x:v>Not assessed</x:v>
      </x:c>
      <x:c r="G49" s="63" t="str">
        <x:v>Blur, compression and character confusion</x:v>
      </x:c>
      <x:c r="H49" s="63" t="str">
        <x:v>Yes</x:v>
      </x:c>
      <x:c r="I49" s="63" t="str">
        <x:f>IF(E49="","Not run",IF(EXACT(E49,H49),"Match","Review"))</x:f>
        <x:v>Not run</x:v>
      </x:c>
      <x:c r="J49" s="63" t="str">
        <x:v>Not assessed</x:v>
      </x:c>
      <x:c r="K49" s="63" t="str">
        <x:v>Not reviewed</x:v>
      </x:c>
      <x:c r="L49" s="63" t="str"/>
      <x:c r="M49" s="63" t="str"/>
      <x:c r="N49" s="64" t="str">
        <x:f>IF(AND(I49="Match",K49="Human approved"),"Yes","No")</x:f>
        <x:v>No</x:v>
      </x:c>
    </x:row>
    <x:row r="50" ht="43" customHeight="1">
      <x:c r="A50" s="62" t="str">
        <x:v>S03-14</x:v>
      </x:c>
      <x:c r="B50" s="63" t="str">
        <x:v>03_Project_Nova_Low_Resolution_Scan.jpg</x:v>
      </x:c>
      <x:c r="C50" s="63" t="str">
        <x:v>Full page</x:v>
      </x:c>
      <x:c r="D50" s="63" t="str">
        <x:v>MFA required</x:v>
      </x:c>
      <x:c r="E50" s="63" t="str"/>
      <x:c r="F50" s="63" t="str">
        <x:v>Not assessed</x:v>
      </x:c>
      <x:c r="G50" s="63" t="str">
        <x:v>Blur, compression and character confusion</x:v>
      </x:c>
      <x:c r="H50" s="63" t="str">
        <x:v>Yes</x:v>
      </x:c>
      <x:c r="I50" s="63" t="str">
        <x:f>IF(E50="","Not run",IF(EXACT(E50,H50),"Match","Review"))</x:f>
        <x:v>Not run</x:v>
      </x:c>
      <x:c r="J50" s="63" t="str">
        <x:v>Not assessed</x:v>
      </x:c>
      <x:c r="K50" s="63" t="str">
        <x:v>Not reviewed</x:v>
      </x:c>
      <x:c r="L50" s="63" t="str"/>
      <x:c r="M50" s="63" t="str"/>
      <x:c r="N50" s="64" t="str">
        <x:f>IF(AND(I50="Match",K50="Human approved"),"Yes","No")</x:f>
        <x:v>No</x:v>
      </x:c>
    </x:row>
    <x:row r="51" ht="43" customHeight="1">
      <x:c r="A51" s="62" t="str">
        <x:v>S03-15</x:v>
      </x:c>
      <x:c r="B51" s="63" t="str">
        <x:v>03_Project_Nova_Low_Resolution_Scan.jpg</x:v>
      </x:c>
      <x:c r="C51" s="63" t="str">
        <x:v>Full page</x:v>
      </x:c>
      <x:c r="D51" s="63" t="str">
        <x:v>Privileged access</x:v>
      </x:c>
      <x:c r="E51" s="63" t="str"/>
      <x:c r="F51" s="63" t="str">
        <x:v>Not assessed</x:v>
      </x:c>
      <x:c r="G51" s="63" t="str">
        <x:v>Blur, compression and character confusion</x:v>
      </x:c>
      <x:c r="H51" s="63" t="str">
        <x:v>Yes</x:v>
      </x:c>
      <x:c r="I51" s="63" t="str">
        <x:f>IF(E51="","Not run",IF(EXACT(E51,H51),"Match","Review"))</x:f>
        <x:v>Not run</x:v>
      </x:c>
      <x:c r="J51" s="63" t="str">
        <x:v>Not assessed</x:v>
      </x:c>
      <x:c r="K51" s="63" t="str">
        <x:v>Not reviewed</x:v>
      </x:c>
      <x:c r="L51" s="63" t="str"/>
      <x:c r="M51" s="63" t="str"/>
      <x:c r="N51" s="64" t="str">
        <x:f>IF(AND(I51="Match",K51="Human approved"),"Yes","No")</x:f>
        <x:v>No</x:v>
      </x:c>
    </x:row>
    <x:row r="52" ht="43" customHeight="1">
      <x:c r="A52" s="62" t="str">
        <x:v>S03-16</x:v>
      </x:c>
      <x:c r="B52" s="63" t="str">
        <x:v>03_Project_Nova_Low_Resolution_Scan.jpg</x:v>
      </x:c>
      <x:c r="C52" s="63" t="str">
        <x:v>Full page</x:v>
      </x:c>
      <x:c r="D52" s="63" t="str">
        <x:v>Handwritten proposed end date</x:v>
      </x:c>
      <x:c r="E52" s="63" t="str"/>
      <x:c r="F52" s="63" t="str">
        <x:v>Not assessed</x:v>
      </x:c>
      <x:c r="G52" s="63" t="str">
        <x:v>Blur, compression and character confusion</x:v>
      </x:c>
      <x:c r="H52" s="63" t="str">
        <x:v>Not confirmed</x:v>
      </x:c>
      <x:c r="I52" s="63" t="str">
        <x:f>IF(E52="","Not run",IF(EXACT(E52,H52),"Match","Review"))</x:f>
        <x:v>Not run</x:v>
      </x:c>
      <x:c r="J52" s="63" t="str">
        <x:v>Not assessed</x:v>
      </x:c>
      <x:c r="K52" s="63" t="str">
        <x:v>Not reviewed</x:v>
      </x:c>
      <x:c r="L52" s="63" t="str"/>
      <x:c r="M52" s="63" t="str"/>
      <x:c r="N52" s="64" t="str">
        <x:f>IF(AND(I52="Match",K52="Human approved"),"Yes","No")</x:f>
        <x:v>No</x:v>
      </x:c>
    </x:row>
    <x:row r="53" ht="43" customHeight="1">
      <x:c r="A53" s="62" t="str">
        <x:v>S04-01</x:v>
      </x:c>
      <x:c r="B53" s="63" t="str">
        <x:v>04_Project_Nova_Rotated_Phone_Photo.jpg</x:v>
      </x:c>
      <x:c r="C53" s="63" t="str">
        <x:v>Rotated page</x:v>
      </x:c>
      <x:c r="D53" s="63" t="str">
        <x:v>Request ID</x:v>
      </x:c>
      <x:c r="E53" s="63" t="str"/>
      <x:c r="F53" s="63" t="str">
        <x:v>Not assessed</x:v>
      </x:c>
      <x:c r="G53" s="63" t="str">
        <x:v>Rotation, background and lower contrast</x:v>
      </x:c>
      <x:c r="H53" s="63" t="str">
        <x:v>AR-2048</x:v>
      </x:c>
      <x:c r="I53" s="63" t="str">
        <x:f>IF(E53="","Not run",IF(EXACT(E53,H53),"Match","Review"))</x:f>
        <x:v>Not run</x:v>
      </x:c>
      <x:c r="J53" s="63" t="str">
        <x:v>Not assessed</x:v>
      </x:c>
      <x:c r="K53" s="63" t="str">
        <x:v>Not reviewed</x:v>
      </x:c>
      <x:c r="L53" s="63" t="str"/>
      <x:c r="M53" s="63" t="str"/>
      <x:c r="N53" s="64" t="str">
        <x:f>IF(AND(I53="Match",K53="Human approved"),"Yes","No")</x:f>
        <x:v>No</x:v>
      </x:c>
    </x:row>
    <x:row r="54" ht="43" customHeight="1">
      <x:c r="A54" s="62" t="str">
        <x:v>S04-02</x:v>
      </x:c>
      <x:c r="B54" s="63" t="str">
        <x:v>04_Project_Nova_Rotated_Phone_Photo.jpg</x:v>
      </x:c>
      <x:c r="C54" s="63" t="str">
        <x:v>Rotated page</x:v>
      </x:c>
      <x:c r="D54" s="63" t="str">
        <x:v>Requester</x:v>
      </x:c>
      <x:c r="E54" s="63" t="str"/>
      <x:c r="F54" s="63" t="str">
        <x:v>Not assessed</x:v>
      </x:c>
      <x:c r="G54" s="63" t="str">
        <x:v>Rotation, background and lower contrast</x:v>
      </x:c>
      <x:c r="H54" s="63" t="str">
        <x:v>Mika Olsen</x:v>
      </x:c>
      <x:c r="I54" s="63" t="str">
        <x:f>IF(E54="","Not run",IF(EXACT(E54,H54),"Match","Review"))</x:f>
        <x:v>Not run</x:v>
      </x:c>
      <x:c r="J54" s="63" t="str">
        <x:v>Not assessed</x:v>
      </x:c>
      <x:c r="K54" s="63" t="str">
        <x:v>Not reviewed</x:v>
      </x:c>
      <x:c r="L54" s="63" t="str"/>
      <x:c r="M54" s="63" t="str"/>
      <x:c r="N54" s="64" t="str">
        <x:f>IF(AND(I54="Match",K54="Human approved"),"Yes","No")</x:f>
        <x:v>No</x:v>
      </x:c>
    </x:row>
    <x:row r="55" ht="43" customHeight="1">
      <x:c r="A55" s="62" t="str">
        <x:v>S04-03</x:v>
      </x:c>
      <x:c r="B55" s="63" t="str">
        <x:v>04_Project_Nova_Rotated_Phone_Photo.jpg</x:v>
      </x:c>
      <x:c r="C55" s="63" t="str">
        <x:v>Rotated page</x:v>
      </x:c>
      <x:c r="D55" s="63" t="str">
        <x:v>Business unit</x:v>
      </x:c>
      <x:c r="E55" s="63" t="str"/>
      <x:c r="F55" s="63" t="str">
        <x:v>Not assessed</x:v>
      </x:c>
      <x:c r="G55" s="63" t="str">
        <x:v>Rotation, background and lower contrast</x:v>
      </x:c>
      <x:c r="H55" s="63" t="str">
        <x:v>Finance Operations</x:v>
      </x:c>
      <x:c r="I55" s="63" t="str">
        <x:f>IF(E55="","Not run",IF(EXACT(E55,H55),"Match","Review"))</x:f>
        <x:v>Not run</x:v>
      </x:c>
      <x:c r="J55" s="63" t="str">
        <x:v>Not assessed</x:v>
      </x:c>
      <x:c r="K55" s="63" t="str">
        <x:v>Not reviewed</x:v>
      </x:c>
      <x:c r="L55" s="63" t="str"/>
      <x:c r="M55" s="63" t="str"/>
      <x:c r="N55" s="64" t="str">
        <x:f>IF(AND(I55="Match",K55="Human approved"),"Yes","No")</x:f>
        <x:v>No</x:v>
      </x:c>
    </x:row>
    <x:row r="56" ht="43" customHeight="1">
      <x:c r="A56" s="62" t="str">
        <x:v>S04-04</x:v>
      </x:c>
      <x:c r="B56" s="63" t="str">
        <x:v>04_Project_Nova_Rotated_Phone_Photo.jpg</x:v>
      </x:c>
      <x:c r="C56" s="63" t="str">
        <x:v>Rotated page</x:v>
      </x:c>
      <x:c r="D56" s="63" t="str">
        <x:v>Access type</x:v>
      </x:c>
      <x:c r="E56" s="63" t="str"/>
      <x:c r="F56" s="63" t="str">
        <x:v>Not assessed</x:v>
      </x:c>
      <x:c r="G56" s="63" t="str">
        <x:v>Rotation, background and lower contrast</x:v>
      </x:c>
      <x:c r="H56" s="63" t="str">
        <x:v>FinanceHub Approver</x:v>
      </x:c>
      <x:c r="I56" s="63" t="str">
        <x:f>IF(E56="","Not run",IF(EXACT(E56,H56),"Match","Review"))</x:f>
        <x:v>Not run</x:v>
      </x:c>
      <x:c r="J56" s="63" t="str">
        <x:v>Not assessed</x:v>
      </x:c>
      <x:c r="K56" s="63" t="str">
        <x:v>Not reviewed</x:v>
      </x:c>
      <x:c r="L56" s="63" t="str"/>
      <x:c r="M56" s="63" t="str"/>
      <x:c r="N56" s="64" t="str">
        <x:f>IF(AND(I56="Match",K56="Human approved"),"Yes","No")</x:f>
        <x:v>No</x:v>
      </x:c>
    </x:row>
    <x:row r="57" ht="43" customHeight="1">
      <x:c r="A57" s="62" t="str">
        <x:v>S04-05</x:v>
      </x:c>
      <x:c r="B57" s="63" t="str">
        <x:v>04_Project_Nova_Rotated_Phone_Photo.jpg</x:v>
      </x:c>
      <x:c r="C57" s="63" t="str">
        <x:v>Rotated page</x:v>
      </x:c>
      <x:c r="D57" s="63" t="str">
        <x:v>Environment</x:v>
      </x:c>
      <x:c r="E57" s="63" t="str"/>
      <x:c r="F57" s="63" t="str">
        <x:v>Not assessed</x:v>
      </x:c>
      <x:c r="G57" s="63" t="str">
        <x:v>Rotation, background and lower contrast</x:v>
      </x:c>
      <x:c r="H57" s="63" t="str">
        <x:v>Production</x:v>
      </x:c>
      <x:c r="I57" s="63" t="str">
        <x:f>IF(E57="","Not run",IF(EXACT(E57,H57),"Match","Review"))</x:f>
        <x:v>Not run</x:v>
      </x:c>
      <x:c r="J57" s="63" t="str">
        <x:v>Not assessed</x:v>
      </x:c>
      <x:c r="K57" s="63" t="str">
        <x:v>Not reviewed</x:v>
      </x:c>
      <x:c r="L57" s="63" t="str"/>
      <x:c r="M57" s="63" t="str"/>
      <x:c r="N57" s="64" t="str">
        <x:f>IF(AND(I57="Match",K57="Human approved"),"Yes","No")</x:f>
        <x:v>No</x:v>
      </x:c>
    </x:row>
    <x:row r="58" ht="43" customHeight="1">
      <x:c r="A58" s="62" t="str">
        <x:v>S04-06</x:v>
      </x:c>
      <x:c r="B58" s="63" t="str">
        <x:v>04_Project_Nova_Rotated_Phone_Photo.jpg</x:v>
      </x:c>
      <x:c r="C58" s="63" t="str">
        <x:v>Rotated page</x:v>
      </x:c>
      <x:c r="D58" s="63" t="str">
        <x:v>Effective date</x:v>
      </x:c>
      <x:c r="E58" s="63" t="str"/>
      <x:c r="F58" s="63" t="str">
        <x:v>Not assessed</x:v>
      </x:c>
      <x:c r="G58" s="63" t="str">
        <x:v>Rotation, background and lower contrast</x:v>
      </x:c>
      <x:c r="H58" s="63" t="str">
        <x:v>2026-09-15</x:v>
      </x:c>
      <x:c r="I58" s="63" t="str">
        <x:f>IF(E58="","Not run",IF(EXACT(E58,H58),"Match","Review"))</x:f>
        <x:v>Not run</x:v>
      </x:c>
      <x:c r="J58" s="63" t="str">
        <x:v>Not assessed</x:v>
      </x:c>
      <x:c r="K58" s="63" t="str">
        <x:v>Not reviewed</x:v>
      </x:c>
      <x:c r="L58" s="63" t="str"/>
      <x:c r="M58" s="63" t="str"/>
      <x:c r="N58" s="64" t="str">
        <x:f>IF(AND(I58="Match",K58="Human approved"),"Yes","No")</x:f>
        <x:v>No</x:v>
      </x:c>
    </x:row>
    <x:row r="59" ht="43" customHeight="1">
      <x:c r="A59" s="62" t="str">
        <x:v>S04-07</x:v>
      </x:c>
      <x:c r="B59" s="63" t="str">
        <x:v>04_Project_Nova_Rotated_Phone_Photo.jpg</x:v>
      </x:c>
      <x:c r="C59" s="63" t="str">
        <x:v>Rotated page</x:v>
      </x:c>
      <x:c r="D59" s="63" t="str">
        <x:v>End date</x:v>
      </x:c>
      <x:c r="E59" s="63" t="str"/>
      <x:c r="F59" s="63" t="str">
        <x:v>Not assessed</x:v>
      </x:c>
      <x:c r="G59" s="63" t="str">
        <x:v>Rotation, background and lower contrast</x:v>
      </x:c>
      <x:c r="H59" s="63" t="str">
        <x:v>2026-12-31</x:v>
      </x:c>
      <x:c r="I59" s="63" t="str">
        <x:f>IF(E59="","Not run",IF(EXACT(E59,H59),"Match","Review"))</x:f>
        <x:v>Not run</x:v>
      </x:c>
      <x:c r="J59" s="63" t="str">
        <x:v>Not assessed</x:v>
      </x:c>
      <x:c r="K59" s="63" t="str">
        <x:v>Not reviewed</x:v>
      </x:c>
      <x:c r="L59" s="63" t="str"/>
      <x:c r="M59" s="63" t="str"/>
      <x:c r="N59" s="64" t="str">
        <x:f>IF(AND(I59="Match",K59="Human approved"),"Yes","No")</x:f>
        <x:v>No</x:v>
      </x:c>
    </x:row>
    <x:row r="60" ht="43" customHeight="1">
      <x:c r="A60" s="62" t="str">
        <x:v>S04-08</x:v>
      </x:c>
      <x:c r="B60" s="63" t="str">
        <x:v>04_Project_Nova_Rotated_Phone_Photo.jpg</x:v>
      </x:c>
      <x:c r="C60" s="63" t="str">
        <x:v>Rotated page</x:v>
      </x:c>
      <x:c r="D60" s="63" t="str">
        <x:v>Cost centre</x:v>
      </x:c>
      <x:c r="E60" s="63" t="str"/>
      <x:c r="F60" s="63" t="str">
        <x:v>Not assessed</x:v>
      </x:c>
      <x:c r="G60" s="63" t="str">
        <x:v>Rotation, background and lower contrast</x:v>
      </x:c>
      <x:c r="H60" s="63" t="str">
        <x:v>CC-4710</x:v>
      </x:c>
      <x:c r="I60" s="63" t="str">
        <x:f>IF(E60="","Not run",IF(EXACT(E60,H60),"Match","Review"))</x:f>
        <x:v>Not run</x:v>
      </x:c>
      <x:c r="J60" s="63" t="str">
        <x:v>Not assessed</x:v>
      </x:c>
      <x:c r="K60" s="63" t="str">
        <x:v>Not reviewed</x:v>
      </x:c>
      <x:c r="L60" s="63" t="str"/>
      <x:c r="M60" s="63" t="str"/>
      <x:c r="N60" s="64" t="str">
        <x:f>IF(AND(I60="Match",K60="Human approved"),"Yes","No")</x:f>
        <x:v>No</x:v>
      </x:c>
    </x:row>
    <x:row r="61" ht="43" customHeight="1">
      <x:c r="A61" s="62" t="str">
        <x:v>S04-09</x:v>
      </x:c>
      <x:c r="B61" s="63" t="str">
        <x:v>04_Project_Nova_Rotated_Phone_Photo.jpg</x:v>
      </x:c>
      <x:c r="C61" s="63" t="str">
        <x:v>Rotated page</x:v>
      </x:c>
      <x:c r="D61" s="63" t="str">
        <x:v>Licence cost</x:v>
      </x:c>
      <x:c r="E61" s="63" t="str"/>
      <x:c r="F61" s="63" t="str">
        <x:v>Not assessed</x:v>
      </x:c>
      <x:c r="G61" s="63" t="str">
        <x:v>Rotation, background and lower contrast</x:v>
      </x:c>
      <x:c r="H61" s="63" t="str">
        <x:v>EUR 1,250.00</x:v>
      </x:c>
      <x:c r="I61" s="63" t="str">
        <x:f>IF(E61="","Not run",IF(EXACT(E61,H61),"Match","Review"))</x:f>
        <x:v>Not run</x:v>
      </x:c>
      <x:c r="J61" s="63" t="str">
        <x:v>Not assessed</x:v>
      </x:c>
      <x:c r="K61" s="63" t="str">
        <x:v>Not reviewed</x:v>
      </x:c>
      <x:c r="L61" s="63" t="str"/>
      <x:c r="M61" s="63" t="str"/>
      <x:c r="N61" s="64" t="str">
        <x:f>IF(AND(I61="Match",K61="Human approved"),"Yes","No")</x:f>
        <x:v>No</x:v>
      </x:c>
    </x:row>
    <x:row r="62" ht="43" customHeight="1">
      <x:c r="A62" s="62" t="str">
        <x:v>S04-10</x:v>
      </x:c>
      <x:c r="B62" s="63" t="str">
        <x:v>04_Project_Nova_Rotated_Phone_Photo.jpg</x:v>
      </x:c>
      <x:c r="C62" s="63" t="str">
        <x:v>Rotated page</x:v>
      </x:c>
      <x:c r="D62" s="63" t="str">
        <x:v>Approver</x:v>
      </x:c>
      <x:c r="E62" s="63" t="str"/>
      <x:c r="F62" s="63" t="str">
        <x:v>Not assessed</x:v>
      </x:c>
      <x:c r="G62" s="63" t="str">
        <x:v>Rotation, background and lower contrast</x:v>
      </x:c>
      <x:c r="H62" s="63" t="str">
        <x:v>Priya Nair</x:v>
      </x:c>
      <x:c r="I62" s="63" t="str">
        <x:f>IF(E62="","Not run",IF(EXACT(E62,H62),"Match","Review"))</x:f>
        <x:v>Not run</x:v>
      </x:c>
      <x:c r="J62" s="63" t="str">
        <x:v>Not assessed</x:v>
      </x:c>
      <x:c r="K62" s="63" t="str">
        <x:v>Not reviewed</x:v>
      </x:c>
      <x:c r="L62" s="63" t="str"/>
      <x:c r="M62" s="63" t="str"/>
      <x:c r="N62" s="64" t="str">
        <x:f>IF(AND(I62="Match",K62="Human approved"),"Yes","No")</x:f>
        <x:v>No</x:v>
      </x:c>
    </x:row>
    <x:row r="63" ht="43" customHeight="1">
      <x:c r="A63" s="62" t="str">
        <x:v>S04-11</x:v>
      </x:c>
      <x:c r="B63" s="63" t="str">
        <x:v>04_Project_Nova_Rotated_Phone_Photo.jpg</x:v>
      </x:c>
      <x:c r="C63" s="63" t="str">
        <x:v>Rotated page</x:v>
      </x:c>
      <x:c r="D63" s="63" t="str">
        <x:v>Status</x:v>
      </x:c>
      <x:c r="E63" s="63" t="str"/>
      <x:c r="F63" s="63" t="str">
        <x:v>Not assessed</x:v>
      </x:c>
      <x:c r="G63" s="63" t="str">
        <x:v>Rotation, background and lower contrast</x:v>
      </x:c>
      <x:c r="H63" s="63" t="str">
        <x:v>Approved with conditions</x:v>
      </x:c>
      <x:c r="I63" s="63" t="str">
        <x:f>IF(E63="","Not run",IF(EXACT(E63,H63),"Match","Review"))</x:f>
        <x:v>Not run</x:v>
      </x:c>
      <x:c r="J63" s="63" t="str">
        <x:v>Not assessed</x:v>
      </x:c>
      <x:c r="K63" s="63" t="str">
        <x:v>Not reviewed</x:v>
      </x:c>
      <x:c r="L63" s="63" t="str"/>
      <x:c r="M63" s="63" t="str"/>
      <x:c r="N63" s="64" t="str">
        <x:f>IF(AND(I63="Match",K63="Human approved"),"Yes","No")</x:f>
        <x:v>No</x:v>
      </x:c>
    </x:row>
    <x:row r="64" ht="43" customHeight="1">
      <x:c r="A64" s="62" t="str">
        <x:v>S04-12</x:v>
      </x:c>
      <x:c r="B64" s="63" t="str">
        <x:v>04_Project_Nova_Rotated_Phone_Photo.jpg</x:v>
      </x:c>
      <x:c r="C64" s="63" t="str">
        <x:v>Rotated page</x:v>
      </x:c>
      <x:c r="D64" s="63" t="str">
        <x:v>Manager approval</x:v>
      </x:c>
      <x:c r="E64" s="63" t="str"/>
      <x:c r="F64" s="63" t="str">
        <x:v>Not assessed</x:v>
      </x:c>
      <x:c r="G64" s="63" t="str">
        <x:v>Rotation, background and lower contrast</x:v>
      </x:c>
      <x:c r="H64" s="63" t="str">
        <x:v>Yes</x:v>
      </x:c>
      <x:c r="I64" s="63" t="str">
        <x:f>IF(E64="","Not run",IF(EXACT(E64,H64),"Match","Review"))</x:f>
        <x:v>Not run</x:v>
      </x:c>
      <x:c r="J64" s="63" t="str">
        <x:v>Not assessed</x:v>
      </x:c>
      <x:c r="K64" s="63" t="str">
        <x:v>Not reviewed</x:v>
      </x:c>
      <x:c r="L64" s="63" t="str"/>
      <x:c r="M64" s="63" t="str"/>
      <x:c r="N64" s="64" t="str">
        <x:f>IF(AND(I64="Match",K64="Human approved"),"Yes","No")</x:f>
        <x:v>No</x:v>
      </x:c>
    </x:row>
    <x:row r="65" ht="43" customHeight="1">
      <x:c r="A65" s="62" t="str">
        <x:v>S04-13</x:v>
      </x:c>
      <x:c r="B65" s="63" t="str">
        <x:v>04_Project_Nova_Rotated_Phone_Photo.jpg</x:v>
      </x:c>
      <x:c r="C65" s="63" t="str">
        <x:v>Rotated page</x:v>
      </x:c>
      <x:c r="D65" s="63" t="str">
        <x:v>Security approval</x:v>
      </x:c>
      <x:c r="E65" s="63" t="str"/>
      <x:c r="F65" s="63" t="str">
        <x:v>Not assessed</x:v>
      </x:c>
      <x:c r="G65" s="63" t="str">
        <x:v>Rotation, background and lower contrast</x:v>
      </x:c>
      <x:c r="H65" s="63" t="str">
        <x:v>Yes</x:v>
      </x:c>
      <x:c r="I65" s="63" t="str">
        <x:f>IF(E65="","Not run",IF(EXACT(E65,H65),"Match","Review"))</x:f>
        <x:v>Not run</x:v>
      </x:c>
      <x:c r="J65" s="63" t="str">
        <x:v>Not assessed</x:v>
      </x:c>
      <x:c r="K65" s="63" t="str">
        <x:v>Not reviewed</x:v>
      </x:c>
      <x:c r="L65" s="63" t="str"/>
      <x:c r="M65" s="63" t="str"/>
      <x:c r="N65" s="64" t="str">
        <x:f>IF(AND(I65="Match",K65="Human approved"),"Yes","No")</x:f>
        <x:v>No</x:v>
      </x:c>
    </x:row>
    <x:row r="66" ht="43" customHeight="1">
      <x:c r="A66" s="62" t="str">
        <x:v>S04-14</x:v>
      </x:c>
      <x:c r="B66" s="63" t="str">
        <x:v>04_Project_Nova_Rotated_Phone_Photo.jpg</x:v>
      </x:c>
      <x:c r="C66" s="63" t="str">
        <x:v>Rotated page</x:v>
      </x:c>
      <x:c r="D66" s="63" t="str">
        <x:v>MFA required</x:v>
      </x:c>
      <x:c r="E66" s="63" t="str"/>
      <x:c r="F66" s="63" t="str">
        <x:v>Not assessed</x:v>
      </x:c>
      <x:c r="G66" s="63" t="str">
        <x:v>Rotation, background and lower contrast</x:v>
      </x:c>
      <x:c r="H66" s="63" t="str">
        <x:v>Yes</x:v>
      </x:c>
      <x:c r="I66" s="63" t="str">
        <x:f>IF(E66="","Not run",IF(EXACT(E66,H66),"Match","Review"))</x:f>
        <x:v>Not run</x:v>
      </x:c>
      <x:c r="J66" s="63" t="str">
        <x:v>Not assessed</x:v>
      </x:c>
      <x:c r="K66" s="63" t="str">
        <x:v>Not reviewed</x:v>
      </x:c>
      <x:c r="L66" s="63" t="str"/>
      <x:c r="M66" s="63" t="str"/>
      <x:c r="N66" s="64" t="str">
        <x:f>IF(AND(I66="Match",K66="Human approved"),"Yes","No")</x:f>
        <x:v>No</x:v>
      </x:c>
    </x:row>
    <x:row r="67" ht="43" customHeight="1">
      <x:c r="A67" s="62" t="str">
        <x:v>S04-15</x:v>
      </x:c>
      <x:c r="B67" s="63" t="str">
        <x:v>04_Project_Nova_Rotated_Phone_Photo.jpg</x:v>
      </x:c>
      <x:c r="C67" s="63" t="str">
        <x:v>Rotated page</x:v>
      </x:c>
      <x:c r="D67" s="63" t="str">
        <x:v>Privileged access</x:v>
      </x:c>
      <x:c r="E67" s="63" t="str"/>
      <x:c r="F67" s="63" t="str">
        <x:v>Not assessed</x:v>
      </x:c>
      <x:c r="G67" s="63" t="str">
        <x:v>Rotation, background and lower contrast</x:v>
      </x:c>
      <x:c r="H67" s="63" t="str">
        <x:v>Yes</x:v>
      </x:c>
      <x:c r="I67" s="63" t="str">
        <x:f>IF(E67="","Not run",IF(EXACT(E67,H67),"Match","Review"))</x:f>
        <x:v>Not run</x:v>
      </x:c>
      <x:c r="J67" s="63" t="str">
        <x:v>Not assessed</x:v>
      </x:c>
      <x:c r="K67" s="63" t="str">
        <x:v>Not reviewed</x:v>
      </x:c>
      <x:c r="L67" s="63" t="str"/>
      <x:c r="M67" s="63" t="str"/>
      <x:c r="N67" s="64" t="str">
        <x:f>IF(AND(I67="Match",K67="Human approved"),"Yes","No")</x:f>
        <x:v>No</x:v>
      </x:c>
    </x:row>
    <x:row r="68" ht="43" customHeight="1">
      <x:c r="A68" s="62" t="str">
        <x:v>S04-16</x:v>
      </x:c>
      <x:c r="B68" s="63" t="str">
        <x:v>04_Project_Nova_Rotated_Phone_Photo.jpg</x:v>
      </x:c>
      <x:c r="C68" s="63" t="str">
        <x:v>Rotated page</x:v>
      </x:c>
      <x:c r="D68" s="63" t="str">
        <x:v>Handwritten proposed end date</x:v>
      </x:c>
      <x:c r="E68" s="63" t="str"/>
      <x:c r="F68" s="63" t="str">
        <x:v>Not assessed</x:v>
      </x:c>
      <x:c r="G68" s="63" t="str">
        <x:v>Rotation, background and lower contrast</x:v>
      </x:c>
      <x:c r="H68" s="63" t="str">
        <x:v>Not confirmed</x:v>
      </x:c>
      <x:c r="I68" s="63" t="str">
        <x:f>IF(E68="","Not run",IF(EXACT(E68,H68),"Match","Review"))</x:f>
        <x:v>Not run</x:v>
      </x:c>
      <x:c r="J68" s="63" t="str">
        <x:v>Not assessed</x:v>
      </x:c>
      <x:c r="K68" s="63" t="str">
        <x:v>Not reviewed</x:v>
      </x:c>
      <x:c r="L68" s="63" t="str"/>
      <x:c r="M68" s="63" t="str"/>
      <x:c r="N68" s="64" t="str">
        <x:f>IF(AND(I68="Match",K68="Human approved"),"Yes","No")</x:f>
        <x:v>No</x:v>
      </x:c>
    </x:row>
    <x:row r="69" ht="43" customHeight="1">
      <x:c r="A69" s="62" t="str">
        <x:v>S05-01</x:v>
      </x:c>
      <x:c r="B69" s="63" t="str">
        <x:v>05_Project_Nova_Cropped_Page.png</x:v>
      </x:c>
      <x:c r="C69" s="63" t="str">
        <x:v>Cropped page</x:v>
      </x:c>
      <x:c r="D69" s="63" t="str">
        <x:v>Request ID</x:v>
      </x:c>
      <x:c r="E69" s="63" t="str"/>
      <x:c r="F69" s="63" t="str">
        <x:v>Not assessed</x:v>
      </x:c>
      <x:c r="G69" s="63" t="str">
        <x:v>Lower page absent</x:v>
      </x:c>
      <x:c r="H69" s="63" t="str">
        <x:v>AR-2048</x:v>
      </x:c>
      <x:c r="I69" s="63" t="str">
        <x:f>IF(E69="","Not run",IF(EXACT(E69,H69),"Match","Review"))</x:f>
        <x:v>Not run</x:v>
      </x:c>
      <x:c r="J69" s="63" t="str">
        <x:v>Not assessed</x:v>
      </x:c>
      <x:c r="K69" s="63" t="str">
        <x:v>Not reviewed</x:v>
      </x:c>
      <x:c r="L69" s="63" t="str"/>
      <x:c r="M69" s="63" t="str"/>
      <x:c r="N69" s="64" t="str">
        <x:f>IF(AND(I69="Match",K69="Human approved"),"Yes","No")</x:f>
        <x:v>No</x:v>
      </x:c>
    </x:row>
    <x:row r="70" ht="43" customHeight="1">
      <x:c r="A70" s="62" t="str">
        <x:v>S05-02</x:v>
      </x:c>
      <x:c r="B70" s="63" t="str">
        <x:v>05_Project_Nova_Cropped_Page.png</x:v>
      </x:c>
      <x:c r="C70" s="63" t="str">
        <x:v>Cropped page</x:v>
      </x:c>
      <x:c r="D70" s="63" t="str">
        <x:v>Requester</x:v>
      </x:c>
      <x:c r="E70" s="63" t="str"/>
      <x:c r="F70" s="63" t="str">
        <x:v>Not assessed</x:v>
      </x:c>
      <x:c r="G70" s="63" t="str">
        <x:v>Lower page absent</x:v>
      </x:c>
      <x:c r="H70" s="63" t="str">
        <x:v>Mika Olsen</x:v>
      </x:c>
      <x:c r="I70" s="63" t="str">
        <x:f>IF(E70="","Not run",IF(EXACT(E70,H70),"Match","Review"))</x:f>
        <x:v>Not run</x:v>
      </x:c>
      <x:c r="J70" s="63" t="str">
        <x:v>Not assessed</x:v>
      </x:c>
      <x:c r="K70" s="63" t="str">
        <x:v>Not reviewed</x:v>
      </x:c>
      <x:c r="L70" s="63" t="str"/>
      <x:c r="M70" s="63" t="str"/>
      <x:c r="N70" s="64" t="str">
        <x:f>IF(AND(I70="Match",K70="Human approved"),"Yes","No")</x:f>
        <x:v>No</x:v>
      </x:c>
    </x:row>
    <x:row r="71" ht="43" customHeight="1">
      <x:c r="A71" s="62" t="str">
        <x:v>S05-03</x:v>
      </x:c>
      <x:c r="B71" s="63" t="str">
        <x:v>05_Project_Nova_Cropped_Page.png</x:v>
      </x:c>
      <x:c r="C71" s="63" t="str">
        <x:v>Cropped page</x:v>
      </x:c>
      <x:c r="D71" s="63" t="str">
        <x:v>Business unit</x:v>
      </x:c>
      <x:c r="E71" s="63" t="str"/>
      <x:c r="F71" s="63" t="str">
        <x:v>Not assessed</x:v>
      </x:c>
      <x:c r="G71" s="63" t="str">
        <x:v>Lower page absent</x:v>
      </x:c>
      <x:c r="H71" s="63" t="str">
        <x:v>Finance Operations</x:v>
      </x:c>
      <x:c r="I71" s="63" t="str">
        <x:f>IF(E71="","Not run",IF(EXACT(E71,H71),"Match","Review"))</x:f>
        <x:v>Not run</x:v>
      </x:c>
      <x:c r="J71" s="63" t="str">
        <x:v>Not assessed</x:v>
      </x:c>
      <x:c r="K71" s="63" t="str">
        <x:v>Not reviewed</x:v>
      </x:c>
      <x:c r="L71" s="63" t="str"/>
      <x:c r="M71" s="63" t="str"/>
      <x:c r="N71" s="64" t="str">
        <x:f>IF(AND(I71="Match",K71="Human approved"),"Yes","No")</x:f>
        <x:v>No</x:v>
      </x:c>
    </x:row>
    <x:row r="72" ht="43" customHeight="1">
      <x:c r="A72" s="62" t="str">
        <x:v>S05-04</x:v>
      </x:c>
      <x:c r="B72" s="63" t="str">
        <x:v>05_Project_Nova_Cropped_Page.png</x:v>
      </x:c>
      <x:c r="C72" s="63" t="str">
        <x:v>Cropped page</x:v>
      </x:c>
      <x:c r="D72" s="63" t="str">
        <x:v>Access type</x:v>
      </x:c>
      <x:c r="E72" s="63" t="str"/>
      <x:c r="F72" s="63" t="str">
        <x:v>Not assessed</x:v>
      </x:c>
      <x:c r="G72" s="63" t="str">
        <x:v>Lower page absent</x:v>
      </x:c>
      <x:c r="H72" s="63" t="str">
        <x:v>FinanceHub Approver</x:v>
      </x:c>
      <x:c r="I72" s="63" t="str">
        <x:f>IF(E72="","Not run",IF(EXACT(E72,H72),"Match","Review"))</x:f>
        <x:v>Not run</x:v>
      </x:c>
      <x:c r="J72" s="63" t="str">
        <x:v>Not assessed</x:v>
      </x:c>
      <x:c r="K72" s="63" t="str">
        <x:v>Not reviewed</x:v>
      </x:c>
      <x:c r="L72" s="63" t="str"/>
      <x:c r="M72" s="63" t="str"/>
      <x:c r="N72" s="64" t="str">
        <x:f>IF(AND(I72="Match",K72="Human approved"),"Yes","No")</x:f>
        <x:v>No</x:v>
      </x:c>
    </x:row>
    <x:row r="73" ht="43" customHeight="1">
      <x:c r="A73" s="62" t="str">
        <x:v>S05-05</x:v>
      </x:c>
      <x:c r="B73" s="63" t="str">
        <x:v>05_Project_Nova_Cropped_Page.png</x:v>
      </x:c>
      <x:c r="C73" s="63" t="str">
        <x:v>Cropped page</x:v>
      </x:c>
      <x:c r="D73" s="63" t="str">
        <x:v>Environment</x:v>
      </x:c>
      <x:c r="E73" s="63" t="str"/>
      <x:c r="F73" s="63" t="str">
        <x:v>Not assessed</x:v>
      </x:c>
      <x:c r="G73" s="63" t="str">
        <x:v>Lower page absent</x:v>
      </x:c>
      <x:c r="H73" s="63" t="str">
        <x:v>Production</x:v>
      </x:c>
      <x:c r="I73" s="63" t="str">
        <x:f>IF(E73="","Not run",IF(EXACT(E73,H73),"Match","Review"))</x:f>
        <x:v>Not run</x:v>
      </x:c>
      <x:c r="J73" s="63" t="str">
        <x:v>Not assessed</x:v>
      </x:c>
      <x:c r="K73" s="63" t="str">
        <x:v>Not reviewed</x:v>
      </x:c>
      <x:c r="L73" s="63" t="str"/>
      <x:c r="M73" s="63" t="str"/>
      <x:c r="N73" s="64" t="str">
        <x:f>IF(AND(I73="Match",K73="Human approved"),"Yes","No")</x:f>
        <x:v>No</x:v>
      </x:c>
    </x:row>
    <x:row r="74" ht="43" customHeight="1">
      <x:c r="A74" s="62" t="str">
        <x:v>S05-06</x:v>
      </x:c>
      <x:c r="B74" s="63" t="str">
        <x:v>05_Project_Nova_Cropped_Page.png</x:v>
      </x:c>
      <x:c r="C74" s="63" t="str">
        <x:v>Cropped page</x:v>
      </x:c>
      <x:c r="D74" s="63" t="str">
        <x:v>Effective date</x:v>
      </x:c>
      <x:c r="E74" s="63" t="str"/>
      <x:c r="F74" s="63" t="str">
        <x:v>Not assessed</x:v>
      </x:c>
      <x:c r="G74" s="63" t="str">
        <x:v>Lower page absent</x:v>
      </x:c>
      <x:c r="H74" s="63" t="str">
        <x:v>2026-09-15</x:v>
      </x:c>
      <x:c r="I74" s="63" t="str">
        <x:f>IF(E74="","Not run",IF(EXACT(E74,H74),"Match","Review"))</x:f>
        <x:v>Not run</x:v>
      </x:c>
      <x:c r="J74" s="63" t="str">
        <x:v>Not assessed</x:v>
      </x:c>
      <x:c r="K74" s="63" t="str">
        <x:v>Not reviewed</x:v>
      </x:c>
      <x:c r="L74" s="63" t="str"/>
      <x:c r="M74" s="63" t="str"/>
      <x:c r="N74" s="64" t="str">
        <x:f>IF(AND(I74="Match",K74="Human approved"),"Yes","No")</x:f>
        <x:v>No</x:v>
      </x:c>
    </x:row>
    <x:row r="75" ht="43" customHeight="1">
      <x:c r="A75" s="62" t="str">
        <x:v>S05-07</x:v>
      </x:c>
      <x:c r="B75" s="63" t="str">
        <x:v>05_Project_Nova_Cropped_Page.png</x:v>
      </x:c>
      <x:c r="C75" s="63" t="str">
        <x:v>Cropped page</x:v>
      </x:c>
      <x:c r="D75" s="63" t="str">
        <x:v>End date</x:v>
      </x:c>
      <x:c r="E75" s="63" t="str"/>
      <x:c r="F75" s="63" t="str">
        <x:v>Not assessed</x:v>
      </x:c>
      <x:c r="G75" s="63" t="str">
        <x:v>Lower page absent</x:v>
      </x:c>
      <x:c r="H75" s="63" t="str">
        <x:v>2026-12-31</x:v>
      </x:c>
      <x:c r="I75" s="63" t="str">
        <x:f>IF(E75="","Not run",IF(EXACT(E75,H75),"Match","Review"))</x:f>
        <x:v>Not run</x:v>
      </x:c>
      <x:c r="J75" s="63" t="str">
        <x:v>Not assessed</x:v>
      </x:c>
      <x:c r="K75" s="63" t="str">
        <x:v>Not reviewed</x:v>
      </x:c>
      <x:c r="L75" s="63" t="str"/>
      <x:c r="M75" s="63" t="str"/>
      <x:c r="N75" s="64" t="str">
        <x:f>IF(AND(I75="Match",K75="Human approved"),"Yes","No")</x:f>
        <x:v>No</x:v>
      </x:c>
    </x:row>
    <x:row r="76" ht="43" customHeight="1">
      <x:c r="A76" s="62" t="str">
        <x:v>S05-08</x:v>
      </x:c>
      <x:c r="B76" s="63" t="str">
        <x:v>05_Project_Nova_Cropped_Page.png</x:v>
      </x:c>
      <x:c r="C76" s="63" t="str">
        <x:v>Cropped page</x:v>
      </x:c>
      <x:c r="D76" s="63" t="str">
        <x:v>Cost centre</x:v>
      </x:c>
      <x:c r="E76" s="63" t="str"/>
      <x:c r="F76" s="63" t="str">
        <x:v>Not assessed</x:v>
      </x:c>
      <x:c r="G76" s="63" t="str">
        <x:v>Lower page absent</x:v>
      </x:c>
      <x:c r="H76" s="63" t="str">
        <x:v>CC-4710</x:v>
      </x:c>
      <x:c r="I76" s="63" t="str">
        <x:f>IF(E76="","Not run",IF(EXACT(E76,H76),"Match","Review"))</x:f>
        <x:v>Not run</x:v>
      </x:c>
      <x:c r="J76" s="63" t="str">
        <x:v>Not assessed</x:v>
      </x:c>
      <x:c r="K76" s="63" t="str">
        <x:v>Not reviewed</x:v>
      </x:c>
      <x:c r="L76" s="63" t="str"/>
      <x:c r="M76" s="63" t="str"/>
      <x:c r="N76" s="64" t="str">
        <x:f>IF(AND(I76="Match",K76="Human approved"),"Yes","No")</x:f>
        <x:v>No</x:v>
      </x:c>
    </x:row>
    <x:row r="77" ht="43" customHeight="1">
      <x:c r="A77" s="62" t="str">
        <x:v>S05-09</x:v>
      </x:c>
      <x:c r="B77" s="63" t="str">
        <x:v>05_Project_Nova_Cropped_Page.png</x:v>
      </x:c>
      <x:c r="C77" s="63" t="str">
        <x:v>Cropped page</x:v>
      </x:c>
      <x:c r="D77" s="63" t="str">
        <x:v>Licence cost</x:v>
      </x:c>
      <x:c r="E77" s="63" t="str"/>
      <x:c r="F77" s="63" t="str">
        <x:v>Not assessed</x:v>
      </x:c>
      <x:c r="G77" s="63" t="str">
        <x:v>Lower page absent</x:v>
      </x:c>
      <x:c r="H77" s="63" t="str">
        <x:v>EUR 1,250.00</x:v>
      </x:c>
      <x:c r="I77" s="63" t="str">
        <x:f>IF(E77="","Not run",IF(EXACT(E77,H77),"Match","Review"))</x:f>
        <x:v>Not run</x:v>
      </x:c>
      <x:c r="J77" s="63" t="str">
        <x:v>Not assessed</x:v>
      </x:c>
      <x:c r="K77" s="63" t="str">
        <x:v>Not reviewed</x:v>
      </x:c>
      <x:c r="L77" s="63" t="str"/>
      <x:c r="M77" s="63" t="str"/>
      <x:c r="N77" s="64" t="str">
        <x:f>IF(AND(I77="Match",K77="Human approved"),"Yes","No")</x:f>
        <x:v>No</x:v>
      </x:c>
    </x:row>
    <x:row r="78" ht="43" customHeight="1">
      <x:c r="A78" s="62" t="str">
        <x:v>S05-10</x:v>
      </x:c>
      <x:c r="B78" s="63" t="str">
        <x:v>05_Project_Nova_Cropped_Page.png</x:v>
      </x:c>
      <x:c r="C78" s="63" t="str">
        <x:v>Cropped page</x:v>
      </x:c>
      <x:c r="D78" s="63" t="str">
        <x:v>Approver</x:v>
      </x:c>
      <x:c r="E78" s="63" t="str"/>
      <x:c r="F78" s="63" t="str">
        <x:v>Not assessed</x:v>
      </x:c>
      <x:c r="G78" s="63" t="str">
        <x:v>Lower page absent</x:v>
      </x:c>
      <x:c r="H78" s="63" t="str">
        <x:v>Not confirmed</x:v>
      </x:c>
      <x:c r="I78" s="63" t="str">
        <x:f>IF(E78="","Not run",IF(EXACT(E78,H78),"Match","Review"))</x:f>
        <x:v>Not run</x:v>
      </x:c>
      <x:c r="J78" s="63" t="str">
        <x:v>Not assessed</x:v>
      </x:c>
      <x:c r="K78" s="63" t="str">
        <x:v>Not reviewed</x:v>
      </x:c>
      <x:c r="L78" s="63" t="str"/>
      <x:c r="M78" s="63" t="str"/>
      <x:c r="N78" s="64" t="str">
        <x:f>IF(AND(I78="Match",K78="Human approved"),"Yes","No")</x:f>
        <x:v>No</x:v>
      </x:c>
    </x:row>
    <x:row r="79" ht="43" customHeight="1">
      <x:c r="A79" s="62" t="str">
        <x:v>S05-11</x:v>
      </x:c>
      <x:c r="B79" s="63" t="str">
        <x:v>05_Project_Nova_Cropped_Page.png</x:v>
      </x:c>
      <x:c r="C79" s="63" t="str">
        <x:v>Cropped page</x:v>
      </x:c>
      <x:c r="D79" s="63" t="str">
        <x:v>Status</x:v>
      </x:c>
      <x:c r="E79" s="63" t="str"/>
      <x:c r="F79" s="63" t="str">
        <x:v>Not assessed</x:v>
      </x:c>
      <x:c r="G79" s="63" t="str">
        <x:v>Lower page absent</x:v>
      </x:c>
      <x:c r="H79" s="63" t="str">
        <x:v>Not confirmed</x:v>
      </x:c>
      <x:c r="I79" s="63" t="str">
        <x:f>IF(E79="","Not run",IF(EXACT(E79,H79),"Match","Review"))</x:f>
        <x:v>Not run</x:v>
      </x:c>
      <x:c r="J79" s="63" t="str">
        <x:v>Not assessed</x:v>
      </x:c>
      <x:c r="K79" s="63" t="str">
        <x:v>Not reviewed</x:v>
      </x:c>
      <x:c r="L79" s="63" t="str"/>
      <x:c r="M79" s="63" t="str"/>
      <x:c r="N79" s="64" t="str">
        <x:f>IF(AND(I79="Match",K79="Human approved"),"Yes","No")</x:f>
        <x:v>No</x:v>
      </x:c>
    </x:row>
    <x:row r="80" ht="43" customHeight="1">
      <x:c r="A80" s="62" t="str">
        <x:v>S05-12</x:v>
      </x:c>
      <x:c r="B80" s="63" t="str">
        <x:v>05_Project_Nova_Cropped_Page.png</x:v>
      </x:c>
      <x:c r="C80" s="63" t="str">
        <x:v>Cropped page</x:v>
      </x:c>
      <x:c r="D80" s="63" t="str">
        <x:v>Manager approval</x:v>
      </x:c>
      <x:c r="E80" s="63" t="str"/>
      <x:c r="F80" s="63" t="str">
        <x:v>Not assessed</x:v>
      </x:c>
      <x:c r="G80" s="63" t="str">
        <x:v>Lower page absent</x:v>
      </x:c>
      <x:c r="H80" s="63" t="str">
        <x:v>Not confirmed</x:v>
      </x:c>
      <x:c r="I80" s="63" t="str">
        <x:f>IF(E80="","Not run",IF(EXACT(E80,H80),"Match","Review"))</x:f>
        <x:v>Not run</x:v>
      </x:c>
      <x:c r="J80" s="63" t="str">
        <x:v>Not assessed</x:v>
      </x:c>
      <x:c r="K80" s="63" t="str">
        <x:v>Not reviewed</x:v>
      </x:c>
      <x:c r="L80" s="63" t="str"/>
      <x:c r="M80" s="63" t="str"/>
      <x:c r="N80" s="64" t="str">
        <x:f>IF(AND(I80="Match",K80="Human approved"),"Yes","No")</x:f>
        <x:v>No</x:v>
      </x:c>
    </x:row>
    <x:row r="81" ht="43" customHeight="1">
      <x:c r="A81" s="62" t="str">
        <x:v>S05-13</x:v>
      </x:c>
      <x:c r="B81" s="63" t="str">
        <x:v>05_Project_Nova_Cropped_Page.png</x:v>
      </x:c>
      <x:c r="C81" s="63" t="str">
        <x:v>Cropped page</x:v>
      </x:c>
      <x:c r="D81" s="63" t="str">
        <x:v>Security approval</x:v>
      </x:c>
      <x:c r="E81" s="63" t="str"/>
      <x:c r="F81" s="63" t="str">
        <x:v>Not assessed</x:v>
      </x:c>
      <x:c r="G81" s="63" t="str">
        <x:v>Lower page absent</x:v>
      </x:c>
      <x:c r="H81" s="63" t="str">
        <x:v>Not confirmed</x:v>
      </x:c>
      <x:c r="I81" s="63" t="str">
        <x:f>IF(E81="","Not run",IF(EXACT(E81,H81),"Match","Review"))</x:f>
        <x:v>Not run</x:v>
      </x:c>
      <x:c r="J81" s="63" t="str">
        <x:v>Not assessed</x:v>
      </x:c>
      <x:c r="K81" s="63" t="str">
        <x:v>Not reviewed</x:v>
      </x:c>
      <x:c r="L81" s="63" t="str"/>
      <x:c r="M81" s="63" t="str"/>
      <x:c r="N81" s="64" t="str">
        <x:f>IF(AND(I81="Match",K81="Human approved"),"Yes","No")</x:f>
        <x:v>No</x:v>
      </x:c>
    </x:row>
    <x:row r="82" ht="43" customHeight="1">
      <x:c r="A82" s="62" t="str">
        <x:v>S05-14</x:v>
      </x:c>
      <x:c r="B82" s="63" t="str">
        <x:v>05_Project_Nova_Cropped_Page.png</x:v>
      </x:c>
      <x:c r="C82" s="63" t="str">
        <x:v>Cropped page</x:v>
      </x:c>
      <x:c r="D82" s="63" t="str">
        <x:v>MFA required</x:v>
      </x:c>
      <x:c r="E82" s="63" t="str"/>
      <x:c r="F82" s="63" t="str">
        <x:v>Not assessed</x:v>
      </x:c>
      <x:c r="G82" s="63" t="str">
        <x:v>Lower page absent</x:v>
      </x:c>
      <x:c r="H82" s="63" t="str">
        <x:v>Not confirmed</x:v>
      </x:c>
      <x:c r="I82" s="63" t="str">
        <x:f>IF(E82="","Not run",IF(EXACT(E82,H82),"Match","Review"))</x:f>
        <x:v>Not run</x:v>
      </x:c>
      <x:c r="J82" s="63" t="str">
        <x:v>Not assessed</x:v>
      </x:c>
      <x:c r="K82" s="63" t="str">
        <x:v>Not reviewed</x:v>
      </x:c>
      <x:c r="L82" s="63" t="str"/>
      <x:c r="M82" s="63" t="str"/>
      <x:c r="N82" s="64" t="str">
        <x:f>IF(AND(I82="Match",K82="Human approved"),"Yes","No")</x:f>
        <x:v>No</x:v>
      </x:c>
    </x:row>
    <x:row r="83" ht="43" customHeight="1">
      <x:c r="A83" s="62" t="str">
        <x:v>S05-15</x:v>
      </x:c>
      <x:c r="B83" s="63" t="str">
        <x:v>05_Project_Nova_Cropped_Page.png</x:v>
      </x:c>
      <x:c r="C83" s="63" t="str">
        <x:v>Cropped page</x:v>
      </x:c>
      <x:c r="D83" s="63" t="str">
        <x:v>Privileged access</x:v>
      </x:c>
      <x:c r="E83" s="63" t="str"/>
      <x:c r="F83" s="63" t="str">
        <x:v>Not assessed</x:v>
      </x:c>
      <x:c r="G83" s="63" t="str">
        <x:v>Lower page absent</x:v>
      </x:c>
      <x:c r="H83" s="63" t="str">
        <x:v>Not confirmed</x:v>
      </x:c>
      <x:c r="I83" s="63" t="str">
        <x:f>IF(E83="","Not run",IF(EXACT(E83,H83),"Match","Review"))</x:f>
        <x:v>Not run</x:v>
      </x:c>
      <x:c r="J83" s="63" t="str">
        <x:v>Not assessed</x:v>
      </x:c>
      <x:c r="K83" s="63" t="str">
        <x:v>Not reviewed</x:v>
      </x:c>
      <x:c r="L83" s="63" t="str"/>
      <x:c r="M83" s="63" t="str"/>
      <x:c r="N83" s="64" t="str">
        <x:f>IF(AND(I83="Match",K83="Human approved"),"Yes","No")</x:f>
        <x:v>No</x:v>
      </x:c>
    </x:row>
    <x:row r="84" ht="43" customHeight="1">
      <x:c r="A84" s="62" t="str">
        <x:v>S05-16</x:v>
      </x:c>
      <x:c r="B84" s="63" t="str">
        <x:v>05_Project_Nova_Cropped_Page.png</x:v>
      </x:c>
      <x:c r="C84" s="63" t="str">
        <x:v>Cropped page</x:v>
      </x:c>
      <x:c r="D84" s="63" t="str">
        <x:v>Handwritten proposed end date</x:v>
      </x:c>
      <x:c r="E84" s="63" t="str"/>
      <x:c r="F84" s="63" t="str">
        <x:v>Not assessed</x:v>
      </x:c>
      <x:c r="G84" s="63" t="str">
        <x:v>Lower page absent</x:v>
      </x:c>
      <x:c r="H84" s="63" t="str">
        <x:v>Not confirmed</x:v>
      </x:c>
      <x:c r="I84" s="63" t="str">
        <x:f>IF(E84="","Not run",IF(EXACT(E84,H84),"Match","Review"))</x:f>
        <x:v>Not run</x:v>
      </x:c>
      <x:c r="J84" s="63" t="str">
        <x:v>Not assessed</x:v>
      </x:c>
      <x:c r="K84" s="63" t="str">
        <x:v>Not reviewed</x:v>
      </x:c>
      <x:c r="L84" s="63" t="str"/>
      <x:c r="M84" s="63" t="str"/>
      <x:c r="N84" s="64" t="str">
        <x:f>IF(AND(I84="Match",K84="Human approved"),"Yes","No")</x:f>
        <x:v>No</x:v>
      </x:c>
    </x:row>
    <x:row r="85" ht="43" customHeight="1">
      <x:c r="A85" s="62" t="str">
        <x:v>S06-01</x:v>
      </x:c>
      <x:c r="B85" s="63" t="str">
        <x:v>06_Project_Nova_Checkbox_Form.png</x:v>
      </x:c>
      <x:c r="C85" s="63" t="str">
        <x:v>Control rows</x:v>
      </x:c>
      <x:c r="D85" s="63" t="str">
        <x:v>Request ID</x:v>
      </x:c>
      <x:c r="E85" s="63" t="str"/>
      <x:c r="F85" s="63" t="str">
        <x:v>Not assessed</x:v>
      </x:c>
      <x:c r="G85" s="63" t="str">
        <x:v>Visual checkbox semantics</x:v>
      </x:c>
      <x:c r="H85" s="63" t="str">
        <x:v>AR-2048</x:v>
      </x:c>
      <x:c r="I85" s="63" t="str">
        <x:f>IF(E85="","Not run",IF(EXACT(E85,H85),"Match","Review"))</x:f>
        <x:v>Not run</x:v>
      </x:c>
      <x:c r="J85" s="63" t="str">
        <x:v>Not assessed</x:v>
      </x:c>
      <x:c r="K85" s="63" t="str">
        <x:v>Not reviewed</x:v>
      </x:c>
      <x:c r="L85" s="63" t="str"/>
      <x:c r="M85" s="63" t="str"/>
      <x:c r="N85" s="64" t="str">
        <x:f>IF(AND(I85="Match",K85="Human approved"),"Yes","No")</x:f>
        <x:v>No</x:v>
      </x:c>
    </x:row>
    <x:row r="86" ht="43" customHeight="1">
      <x:c r="A86" s="62" t="str">
        <x:v>S06-02</x:v>
      </x:c>
      <x:c r="B86" s="63" t="str">
        <x:v>06_Project_Nova_Checkbox_Form.png</x:v>
      </x:c>
      <x:c r="C86" s="63" t="str">
        <x:v>Control rows</x:v>
      </x:c>
      <x:c r="D86" s="63" t="str">
        <x:v>Requester</x:v>
      </x:c>
      <x:c r="E86" s="63" t="str"/>
      <x:c r="F86" s="63" t="str">
        <x:v>Not assessed</x:v>
      </x:c>
      <x:c r="G86" s="63" t="str">
        <x:v>Visual checkbox semantics</x:v>
      </x:c>
      <x:c r="H86" s="63" t="str">
        <x:v>Not confirmed</x:v>
      </x:c>
      <x:c r="I86" s="63" t="str">
        <x:f>IF(E86="","Not run",IF(EXACT(E86,H86),"Match","Review"))</x:f>
        <x:v>Not run</x:v>
      </x:c>
      <x:c r="J86" s="63" t="str">
        <x:v>Not assessed</x:v>
      </x:c>
      <x:c r="K86" s="63" t="str">
        <x:v>Not reviewed</x:v>
      </x:c>
      <x:c r="L86" s="63" t="str"/>
      <x:c r="M86" s="63" t="str"/>
      <x:c r="N86" s="64" t="str">
        <x:f>IF(AND(I86="Match",K86="Human approved"),"Yes","No")</x:f>
        <x:v>No</x:v>
      </x:c>
    </x:row>
    <x:row r="87" ht="43" customHeight="1">
      <x:c r="A87" s="62" t="str">
        <x:v>S06-03</x:v>
      </x:c>
      <x:c r="B87" s="63" t="str">
        <x:v>06_Project_Nova_Checkbox_Form.png</x:v>
      </x:c>
      <x:c r="C87" s="63" t="str">
        <x:v>Control rows</x:v>
      </x:c>
      <x:c r="D87" s="63" t="str">
        <x:v>Business unit</x:v>
      </x:c>
      <x:c r="E87" s="63" t="str"/>
      <x:c r="F87" s="63" t="str">
        <x:v>Not assessed</x:v>
      </x:c>
      <x:c r="G87" s="63" t="str">
        <x:v>Visual checkbox semantics</x:v>
      </x:c>
      <x:c r="H87" s="63" t="str">
        <x:v>Not confirmed</x:v>
      </x:c>
      <x:c r="I87" s="63" t="str">
        <x:f>IF(E87="","Not run",IF(EXACT(E87,H87),"Match","Review"))</x:f>
        <x:v>Not run</x:v>
      </x:c>
      <x:c r="J87" s="63" t="str">
        <x:v>Not assessed</x:v>
      </x:c>
      <x:c r="K87" s="63" t="str">
        <x:v>Not reviewed</x:v>
      </x:c>
      <x:c r="L87" s="63" t="str"/>
      <x:c r="M87" s="63" t="str"/>
      <x:c r="N87" s="64" t="str">
        <x:f>IF(AND(I87="Match",K87="Human approved"),"Yes","No")</x:f>
        <x:v>No</x:v>
      </x:c>
    </x:row>
    <x:row r="88" ht="43" customHeight="1">
      <x:c r="A88" s="62" t="str">
        <x:v>S06-04</x:v>
      </x:c>
      <x:c r="B88" s="63" t="str">
        <x:v>06_Project_Nova_Checkbox_Form.png</x:v>
      </x:c>
      <x:c r="C88" s="63" t="str">
        <x:v>Control rows</x:v>
      </x:c>
      <x:c r="D88" s="63" t="str">
        <x:v>Access type</x:v>
      </x:c>
      <x:c r="E88" s="63" t="str"/>
      <x:c r="F88" s="63" t="str">
        <x:v>Not assessed</x:v>
      </x:c>
      <x:c r="G88" s="63" t="str">
        <x:v>Visual checkbox semantics</x:v>
      </x:c>
      <x:c r="H88" s="63" t="str">
        <x:v>Not confirmed</x:v>
      </x:c>
      <x:c r="I88" s="63" t="str">
        <x:f>IF(E88="","Not run",IF(EXACT(E88,H88),"Match","Review"))</x:f>
        <x:v>Not run</x:v>
      </x:c>
      <x:c r="J88" s="63" t="str">
        <x:v>Not assessed</x:v>
      </x:c>
      <x:c r="K88" s="63" t="str">
        <x:v>Not reviewed</x:v>
      </x:c>
      <x:c r="L88" s="63" t="str"/>
      <x:c r="M88" s="63" t="str"/>
      <x:c r="N88" s="64" t="str">
        <x:f>IF(AND(I88="Match",K88="Human approved"),"Yes","No")</x:f>
        <x:v>No</x:v>
      </x:c>
    </x:row>
    <x:row r="89" ht="43" customHeight="1">
      <x:c r="A89" s="62" t="str">
        <x:v>S06-05</x:v>
      </x:c>
      <x:c r="B89" s="63" t="str">
        <x:v>06_Project_Nova_Checkbox_Form.png</x:v>
      </x:c>
      <x:c r="C89" s="63" t="str">
        <x:v>Control rows</x:v>
      </x:c>
      <x:c r="D89" s="63" t="str">
        <x:v>Environment</x:v>
      </x:c>
      <x:c r="E89" s="63" t="str"/>
      <x:c r="F89" s="63" t="str">
        <x:v>Not assessed</x:v>
      </x:c>
      <x:c r="G89" s="63" t="str">
        <x:v>Visual checkbox semantics</x:v>
      </x:c>
      <x:c r="H89" s="63" t="str">
        <x:v>Not confirmed</x:v>
      </x:c>
      <x:c r="I89" s="63" t="str">
        <x:f>IF(E89="","Not run",IF(EXACT(E89,H89),"Match","Review"))</x:f>
        <x:v>Not run</x:v>
      </x:c>
      <x:c r="J89" s="63" t="str">
        <x:v>Not assessed</x:v>
      </x:c>
      <x:c r="K89" s="63" t="str">
        <x:v>Not reviewed</x:v>
      </x:c>
      <x:c r="L89" s="63" t="str"/>
      <x:c r="M89" s="63" t="str"/>
      <x:c r="N89" s="64" t="str">
        <x:f>IF(AND(I89="Match",K89="Human approved"),"Yes","No")</x:f>
        <x:v>No</x:v>
      </x:c>
    </x:row>
    <x:row r="90" ht="43" customHeight="1">
      <x:c r="A90" s="62" t="str">
        <x:v>S06-06</x:v>
      </x:c>
      <x:c r="B90" s="63" t="str">
        <x:v>06_Project_Nova_Checkbox_Form.png</x:v>
      </x:c>
      <x:c r="C90" s="63" t="str">
        <x:v>Control rows</x:v>
      </x:c>
      <x:c r="D90" s="63" t="str">
        <x:v>Effective date</x:v>
      </x:c>
      <x:c r="E90" s="63" t="str"/>
      <x:c r="F90" s="63" t="str">
        <x:v>Not assessed</x:v>
      </x:c>
      <x:c r="G90" s="63" t="str">
        <x:v>Visual checkbox semantics</x:v>
      </x:c>
      <x:c r="H90" s="63" t="str">
        <x:v>Not confirmed</x:v>
      </x:c>
      <x:c r="I90" s="63" t="str">
        <x:f>IF(E90="","Not run",IF(EXACT(E90,H90),"Match","Review"))</x:f>
        <x:v>Not run</x:v>
      </x:c>
      <x:c r="J90" s="63" t="str">
        <x:v>Not assessed</x:v>
      </x:c>
      <x:c r="K90" s="63" t="str">
        <x:v>Not reviewed</x:v>
      </x:c>
      <x:c r="L90" s="63" t="str"/>
      <x:c r="M90" s="63" t="str"/>
      <x:c r="N90" s="64" t="str">
        <x:f>IF(AND(I90="Match",K90="Human approved"),"Yes","No")</x:f>
        <x:v>No</x:v>
      </x:c>
    </x:row>
    <x:row r="91" ht="43" customHeight="1">
      <x:c r="A91" s="62" t="str">
        <x:v>S06-07</x:v>
      </x:c>
      <x:c r="B91" s="63" t="str">
        <x:v>06_Project_Nova_Checkbox_Form.png</x:v>
      </x:c>
      <x:c r="C91" s="63" t="str">
        <x:v>Control rows</x:v>
      </x:c>
      <x:c r="D91" s="63" t="str">
        <x:v>End date</x:v>
      </x:c>
      <x:c r="E91" s="63" t="str"/>
      <x:c r="F91" s="63" t="str">
        <x:v>Not assessed</x:v>
      </x:c>
      <x:c r="G91" s="63" t="str">
        <x:v>Visual checkbox semantics</x:v>
      </x:c>
      <x:c r="H91" s="63" t="str">
        <x:v>Not confirmed</x:v>
      </x:c>
      <x:c r="I91" s="63" t="str">
        <x:f>IF(E91="","Not run",IF(EXACT(E91,H91),"Match","Review"))</x:f>
        <x:v>Not run</x:v>
      </x:c>
      <x:c r="J91" s="63" t="str">
        <x:v>Not assessed</x:v>
      </x:c>
      <x:c r="K91" s="63" t="str">
        <x:v>Not reviewed</x:v>
      </x:c>
      <x:c r="L91" s="63" t="str"/>
      <x:c r="M91" s="63" t="str"/>
      <x:c r="N91" s="64" t="str">
        <x:f>IF(AND(I91="Match",K91="Human approved"),"Yes","No")</x:f>
        <x:v>No</x:v>
      </x:c>
    </x:row>
    <x:row r="92" ht="43" customHeight="1">
      <x:c r="A92" s="62" t="str">
        <x:v>S06-08</x:v>
      </x:c>
      <x:c r="B92" s="63" t="str">
        <x:v>06_Project_Nova_Checkbox_Form.png</x:v>
      </x:c>
      <x:c r="C92" s="63" t="str">
        <x:v>Control rows</x:v>
      </x:c>
      <x:c r="D92" s="63" t="str">
        <x:v>Cost centre</x:v>
      </x:c>
      <x:c r="E92" s="63" t="str"/>
      <x:c r="F92" s="63" t="str">
        <x:v>Not assessed</x:v>
      </x:c>
      <x:c r="G92" s="63" t="str">
        <x:v>Visual checkbox semantics</x:v>
      </x:c>
      <x:c r="H92" s="63" t="str">
        <x:v>Not confirmed</x:v>
      </x:c>
      <x:c r="I92" s="63" t="str">
        <x:f>IF(E92="","Not run",IF(EXACT(E92,H92),"Match","Review"))</x:f>
        <x:v>Not run</x:v>
      </x:c>
      <x:c r="J92" s="63" t="str">
        <x:v>Not assessed</x:v>
      </x:c>
      <x:c r="K92" s="63" t="str">
        <x:v>Not reviewed</x:v>
      </x:c>
      <x:c r="L92" s="63" t="str"/>
      <x:c r="M92" s="63" t="str"/>
      <x:c r="N92" s="64" t="str">
        <x:f>IF(AND(I92="Match",K92="Human approved"),"Yes","No")</x:f>
        <x:v>No</x:v>
      </x:c>
    </x:row>
    <x:row r="93" ht="43" customHeight="1">
      <x:c r="A93" s="62" t="str">
        <x:v>S06-09</x:v>
      </x:c>
      <x:c r="B93" s="63" t="str">
        <x:v>06_Project_Nova_Checkbox_Form.png</x:v>
      </x:c>
      <x:c r="C93" s="63" t="str">
        <x:v>Control rows</x:v>
      </x:c>
      <x:c r="D93" s="63" t="str">
        <x:v>Licence cost</x:v>
      </x:c>
      <x:c r="E93" s="63" t="str"/>
      <x:c r="F93" s="63" t="str">
        <x:v>Not assessed</x:v>
      </x:c>
      <x:c r="G93" s="63" t="str">
        <x:v>Visual checkbox semantics</x:v>
      </x:c>
      <x:c r="H93" s="63" t="str">
        <x:v>Not confirmed</x:v>
      </x:c>
      <x:c r="I93" s="63" t="str">
        <x:f>IF(E93="","Not run",IF(EXACT(E93,H93),"Match","Review"))</x:f>
        <x:v>Not run</x:v>
      </x:c>
      <x:c r="J93" s="63" t="str">
        <x:v>Not assessed</x:v>
      </x:c>
      <x:c r="K93" s="63" t="str">
        <x:v>Not reviewed</x:v>
      </x:c>
      <x:c r="L93" s="63" t="str"/>
      <x:c r="M93" s="63" t="str"/>
      <x:c r="N93" s="64" t="str">
        <x:f>IF(AND(I93="Match",K93="Human approved"),"Yes","No")</x:f>
        <x:v>No</x:v>
      </x:c>
    </x:row>
    <x:row r="94" ht="43" customHeight="1">
      <x:c r="A94" s="62" t="str">
        <x:v>S06-10</x:v>
      </x:c>
      <x:c r="B94" s="63" t="str">
        <x:v>06_Project_Nova_Checkbox_Form.png</x:v>
      </x:c>
      <x:c r="C94" s="63" t="str">
        <x:v>Control rows</x:v>
      </x:c>
      <x:c r="D94" s="63" t="str">
        <x:v>Approver</x:v>
      </x:c>
      <x:c r="E94" s="63" t="str"/>
      <x:c r="F94" s="63" t="str">
        <x:v>Not assessed</x:v>
      </x:c>
      <x:c r="G94" s="63" t="str">
        <x:v>Visual checkbox semantics</x:v>
      </x:c>
      <x:c r="H94" s="63" t="str">
        <x:v>Not confirmed</x:v>
      </x:c>
      <x:c r="I94" s="63" t="str">
        <x:f>IF(E94="","Not run",IF(EXACT(E94,H94),"Match","Review"))</x:f>
        <x:v>Not run</x:v>
      </x:c>
      <x:c r="J94" s="63" t="str">
        <x:v>Not assessed</x:v>
      </x:c>
      <x:c r="K94" s="63" t="str">
        <x:v>Not reviewed</x:v>
      </x:c>
      <x:c r="L94" s="63" t="str"/>
      <x:c r="M94" s="63" t="str"/>
      <x:c r="N94" s="64" t="str">
        <x:f>IF(AND(I94="Match",K94="Human approved"),"Yes","No")</x:f>
        <x:v>No</x:v>
      </x:c>
    </x:row>
    <x:row r="95" ht="43" customHeight="1">
      <x:c r="A95" s="62" t="str">
        <x:v>S06-11</x:v>
      </x:c>
      <x:c r="B95" s="63" t="str">
        <x:v>06_Project_Nova_Checkbox_Form.png</x:v>
      </x:c>
      <x:c r="C95" s="63" t="str">
        <x:v>Control rows</x:v>
      </x:c>
      <x:c r="D95" s="63" t="str">
        <x:v>Status</x:v>
      </x:c>
      <x:c r="E95" s="63" t="str"/>
      <x:c r="F95" s="63" t="str">
        <x:v>Not assessed</x:v>
      </x:c>
      <x:c r="G95" s="63" t="str">
        <x:v>Visual checkbox semantics</x:v>
      </x:c>
      <x:c r="H95" s="63" t="str">
        <x:v>Not confirmed</x:v>
      </x:c>
      <x:c r="I95" s="63" t="str">
        <x:f>IF(E95="","Not run",IF(EXACT(E95,H95),"Match","Review"))</x:f>
        <x:v>Not run</x:v>
      </x:c>
      <x:c r="J95" s="63" t="str">
        <x:v>Not assessed</x:v>
      </x:c>
      <x:c r="K95" s="63" t="str">
        <x:v>Not reviewed</x:v>
      </x:c>
      <x:c r="L95" s="63" t="str"/>
      <x:c r="M95" s="63" t="str"/>
      <x:c r="N95" s="64" t="str">
        <x:f>IF(AND(I95="Match",K95="Human approved"),"Yes","No")</x:f>
        <x:v>No</x:v>
      </x:c>
    </x:row>
    <x:row r="96" ht="43" customHeight="1">
      <x:c r="A96" s="62" t="str">
        <x:v>S06-12</x:v>
      </x:c>
      <x:c r="B96" s="63" t="str">
        <x:v>06_Project_Nova_Checkbox_Form.png</x:v>
      </x:c>
      <x:c r="C96" s="63" t="str">
        <x:v>Control rows</x:v>
      </x:c>
      <x:c r="D96" s="63" t="str">
        <x:v>Manager approval</x:v>
      </x:c>
      <x:c r="E96" s="63" t="str"/>
      <x:c r="F96" s="63" t="str">
        <x:v>Not assessed</x:v>
      </x:c>
      <x:c r="G96" s="63" t="str">
        <x:v>Visual checkbox semantics</x:v>
      </x:c>
      <x:c r="H96" s="63" t="str">
        <x:v>Yes</x:v>
      </x:c>
      <x:c r="I96" s="63" t="str">
        <x:f>IF(E96="","Not run",IF(EXACT(E96,H96),"Match","Review"))</x:f>
        <x:v>Not run</x:v>
      </x:c>
      <x:c r="J96" s="63" t="str">
        <x:v>Not assessed</x:v>
      </x:c>
      <x:c r="K96" s="63" t="str">
        <x:v>Not reviewed</x:v>
      </x:c>
      <x:c r="L96" s="63" t="str"/>
      <x:c r="M96" s="63" t="str"/>
      <x:c r="N96" s="64" t="str">
        <x:f>IF(AND(I96="Match",K96="Human approved"),"Yes","No")</x:f>
        <x:v>No</x:v>
      </x:c>
    </x:row>
    <x:row r="97" ht="43" customHeight="1">
      <x:c r="A97" s="62" t="str">
        <x:v>S06-13</x:v>
      </x:c>
      <x:c r="B97" s="63" t="str">
        <x:v>06_Project_Nova_Checkbox_Form.png</x:v>
      </x:c>
      <x:c r="C97" s="63" t="str">
        <x:v>Control rows</x:v>
      </x:c>
      <x:c r="D97" s="63" t="str">
        <x:v>Security approval</x:v>
      </x:c>
      <x:c r="E97" s="63" t="str"/>
      <x:c r="F97" s="63" t="str">
        <x:v>Not assessed</x:v>
      </x:c>
      <x:c r="G97" s="63" t="str">
        <x:v>Visual checkbox semantics</x:v>
      </x:c>
      <x:c r="H97" s="63" t="str">
        <x:v>Yes</x:v>
      </x:c>
      <x:c r="I97" s="63" t="str">
        <x:f>IF(E97="","Not run",IF(EXACT(E97,H97),"Match","Review"))</x:f>
        <x:v>Not run</x:v>
      </x:c>
      <x:c r="J97" s="63" t="str">
        <x:v>Not assessed</x:v>
      </x:c>
      <x:c r="K97" s="63" t="str">
        <x:v>Not reviewed</x:v>
      </x:c>
      <x:c r="L97" s="63" t="str"/>
      <x:c r="M97" s="63" t="str"/>
      <x:c r="N97" s="64" t="str">
        <x:f>IF(AND(I97="Match",K97="Human approved"),"Yes","No")</x:f>
        <x:v>No</x:v>
      </x:c>
    </x:row>
    <x:row r="98" ht="43" customHeight="1">
      <x:c r="A98" s="62" t="str">
        <x:v>S06-14</x:v>
      </x:c>
      <x:c r="B98" s="63" t="str">
        <x:v>06_Project_Nova_Checkbox_Form.png</x:v>
      </x:c>
      <x:c r="C98" s="63" t="str">
        <x:v>Control rows</x:v>
      </x:c>
      <x:c r="D98" s="63" t="str">
        <x:v>MFA required</x:v>
      </x:c>
      <x:c r="E98" s="63" t="str"/>
      <x:c r="F98" s="63" t="str">
        <x:v>Not assessed</x:v>
      </x:c>
      <x:c r="G98" s="63" t="str">
        <x:v>Visual checkbox semantics</x:v>
      </x:c>
      <x:c r="H98" s="63" t="str">
        <x:v>Yes</x:v>
      </x:c>
      <x:c r="I98" s="63" t="str">
        <x:f>IF(E98="","Not run",IF(EXACT(E98,H98),"Match","Review"))</x:f>
        <x:v>Not run</x:v>
      </x:c>
      <x:c r="J98" s="63" t="str">
        <x:v>Not assessed</x:v>
      </x:c>
      <x:c r="K98" s="63" t="str">
        <x:v>Not reviewed</x:v>
      </x:c>
      <x:c r="L98" s="63" t="str"/>
      <x:c r="M98" s="63" t="str"/>
      <x:c r="N98" s="64" t="str">
        <x:f>IF(AND(I98="Match",K98="Human approved"),"Yes","No")</x:f>
        <x:v>No</x:v>
      </x:c>
    </x:row>
    <x:row r="99" ht="43" customHeight="1">
      <x:c r="A99" s="62" t="str">
        <x:v>S06-15</x:v>
      </x:c>
      <x:c r="B99" s="63" t="str">
        <x:v>06_Project_Nova_Checkbox_Form.png</x:v>
      </x:c>
      <x:c r="C99" s="63" t="str">
        <x:v>Control rows</x:v>
      </x:c>
      <x:c r="D99" s="63" t="str">
        <x:v>Privileged access</x:v>
      </x:c>
      <x:c r="E99" s="63" t="str"/>
      <x:c r="F99" s="63" t="str">
        <x:v>Not assessed</x:v>
      </x:c>
      <x:c r="G99" s="63" t="str">
        <x:v>Visual checkbox semantics</x:v>
      </x:c>
      <x:c r="H99" s="63" t="str">
        <x:v>Yes</x:v>
      </x:c>
      <x:c r="I99" s="63" t="str">
        <x:f>IF(E99="","Not run",IF(EXACT(E99,H99),"Match","Review"))</x:f>
        <x:v>Not run</x:v>
      </x:c>
      <x:c r="J99" s="63" t="str">
        <x:v>Not assessed</x:v>
      </x:c>
      <x:c r="K99" s="63" t="str">
        <x:v>Not reviewed</x:v>
      </x:c>
      <x:c r="L99" s="63" t="str"/>
      <x:c r="M99" s="63" t="str"/>
      <x:c r="N99" s="64" t="str">
        <x:f>IF(AND(I99="Match",K99="Human approved"),"Yes","No")</x:f>
        <x:v>No</x:v>
      </x:c>
    </x:row>
    <x:row r="100" ht="43" customHeight="1">
      <x:c r="A100" s="62" t="str">
        <x:v>S06-16</x:v>
      </x:c>
      <x:c r="B100" s="63" t="str">
        <x:v>06_Project_Nova_Checkbox_Form.png</x:v>
      </x:c>
      <x:c r="C100" s="63" t="str">
        <x:v>Control rows</x:v>
      </x:c>
      <x:c r="D100" s="63" t="str">
        <x:v>Handwritten proposed end date</x:v>
      </x:c>
      <x:c r="E100" s="63" t="str"/>
      <x:c r="F100" s="63" t="str">
        <x:v>Not assessed</x:v>
      </x:c>
      <x:c r="G100" s="63" t="str">
        <x:v>Visual checkbox semantics</x:v>
      </x:c>
      <x:c r="H100" s="63" t="str">
        <x:v>Not confirmed</x:v>
      </x:c>
      <x:c r="I100" s="63" t="str">
        <x:f>IF(E100="","Not run",IF(EXACT(E100,H100),"Match","Review"))</x:f>
        <x:v>Not run</x:v>
      </x:c>
      <x:c r="J100" s="63" t="str">
        <x:v>Not assessed</x:v>
      </x:c>
      <x:c r="K100" s="63" t="str">
        <x:v>Not reviewed</x:v>
      </x:c>
      <x:c r="L100" s="63" t="str"/>
      <x:c r="M100" s="63" t="str"/>
      <x:c r="N100" s="64" t="str">
        <x:f>IF(AND(I100="Match",K100="Human approved"),"Yes","No")</x:f>
        <x:v>No</x:v>
      </x:c>
    </x:row>
    <x:row r="101" ht="43" customHeight="1">
      <x:c r="A101" s="62" t="str">
        <x:v>S07-01</x:v>
      </x:c>
      <x:c r="B101" s="63" t="str">
        <x:v>07_Project_Nova_Handwritten_Correction.png</x:v>
      </x:c>
      <x:c r="C101" s="63" t="str">
        <x:v>Printed page + blue handwriting</x:v>
      </x:c>
      <x:c r="D101" s="63" t="str">
        <x:v>Request ID</x:v>
      </x:c>
      <x:c r="E101" s="63" t="str"/>
      <x:c r="F101" s="63" t="str">
        <x:v>Not assessed</x:v>
      </x:c>
      <x:c r="G101" s="63" t="str">
        <x:v>Printed authority versus handwritten proposal</x:v>
      </x:c>
      <x:c r="H101" s="63" t="str">
        <x:v>AR-2048</x:v>
      </x:c>
      <x:c r="I101" s="63" t="str">
        <x:f>IF(E101="","Not run",IF(EXACT(E101,H101),"Match","Review"))</x:f>
        <x:v>Not run</x:v>
      </x:c>
      <x:c r="J101" s="63" t="str">
        <x:v>Not assessed</x:v>
      </x:c>
      <x:c r="K101" s="63" t="str">
        <x:v>Not reviewed</x:v>
      </x:c>
      <x:c r="L101" s="63" t="str"/>
      <x:c r="M101" s="63" t="str"/>
      <x:c r="N101" s="64" t="str">
        <x:f>IF(AND(I101="Match",K101="Human approved"),"Yes","No")</x:f>
        <x:v>No</x:v>
      </x:c>
    </x:row>
    <x:row r="102" ht="43" customHeight="1">
      <x:c r="A102" s="62" t="str">
        <x:v>S07-02</x:v>
      </x:c>
      <x:c r="B102" s="63" t="str">
        <x:v>07_Project_Nova_Handwritten_Correction.png</x:v>
      </x:c>
      <x:c r="C102" s="63" t="str">
        <x:v>Printed page + blue handwriting</x:v>
      </x:c>
      <x:c r="D102" s="63" t="str">
        <x:v>Requester</x:v>
      </x:c>
      <x:c r="E102" s="63" t="str"/>
      <x:c r="F102" s="63" t="str">
        <x:v>Not assessed</x:v>
      </x:c>
      <x:c r="G102" s="63" t="str">
        <x:v>Printed authority versus handwritten proposal</x:v>
      </x:c>
      <x:c r="H102" s="63" t="str">
        <x:v>Mika Olsen</x:v>
      </x:c>
      <x:c r="I102" s="63" t="str">
        <x:f>IF(E102="","Not run",IF(EXACT(E102,H102),"Match","Review"))</x:f>
        <x:v>Not run</x:v>
      </x:c>
      <x:c r="J102" s="63" t="str">
        <x:v>Not assessed</x:v>
      </x:c>
      <x:c r="K102" s="63" t="str">
        <x:v>Not reviewed</x:v>
      </x:c>
      <x:c r="L102" s="63" t="str"/>
      <x:c r="M102" s="63" t="str"/>
      <x:c r="N102" s="64" t="str">
        <x:f>IF(AND(I102="Match",K102="Human approved"),"Yes","No")</x:f>
        <x:v>No</x:v>
      </x:c>
    </x:row>
    <x:row r="103" ht="43" customHeight="1">
      <x:c r="A103" s="62" t="str">
        <x:v>S07-03</x:v>
      </x:c>
      <x:c r="B103" s="63" t="str">
        <x:v>07_Project_Nova_Handwritten_Correction.png</x:v>
      </x:c>
      <x:c r="C103" s="63" t="str">
        <x:v>Printed page + blue handwriting</x:v>
      </x:c>
      <x:c r="D103" s="63" t="str">
        <x:v>Business unit</x:v>
      </x:c>
      <x:c r="E103" s="63" t="str"/>
      <x:c r="F103" s="63" t="str">
        <x:v>Not assessed</x:v>
      </x:c>
      <x:c r="G103" s="63" t="str">
        <x:v>Printed authority versus handwritten proposal</x:v>
      </x:c>
      <x:c r="H103" s="63" t="str">
        <x:v>Finance Operations</x:v>
      </x:c>
      <x:c r="I103" s="63" t="str">
        <x:f>IF(E103="","Not run",IF(EXACT(E103,H103),"Match","Review"))</x:f>
        <x:v>Not run</x:v>
      </x:c>
      <x:c r="J103" s="63" t="str">
        <x:v>Not assessed</x:v>
      </x:c>
      <x:c r="K103" s="63" t="str">
        <x:v>Not reviewed</x:v>
      </x:c>
      <x:c r="L103" s="63" t="str"/>
      <x:c r="M103" s="63" t="str"/>
      <x:c r="N103" s="64" t="str">
        <x:f>IF(AND(I103="Match",K103="Human approved"),"Yes","No")</x:f>
        <x:v>No</x:v>
      </x:c>
    </x:row>
    <x:row r="104" ht="43" customHeight="1">
      <x:c r="A104" s="62" t="str">
        <x:v>S07-04</x:v>
      </x:c>
      <x:c r="B104" s="63" t="str">
        <x:v>07_Project_Nova_Handwritten_Correction.png</x:v>
      </x:c>
      <x:c r="C104" s="63" t="str">
        <x:v>Printed page + blue handwriting</x:v>
      </x:c>
      <x:c r="D104" s="63" t="str">
        <x:v>Access type</x:v>
      </x:c>
      <x:c r="E104" s="63" t="str"/>
      <x:c r="F104" s="63" t="str">
        <x:v>Not assessed</x:v>
      </x:c>
      <x:c r="G104" s="63" t="str">
        <x:v>Printed authority versus handwritten proposal</x:v>
      </x:c>
      <x:c r="H104" s="63" t="str">
        <x:v>FinanceHub Approver</x:v>
      </x:c>
      <x:c r="I104" s="63" t="str">
        <x:f>IF(E104="","Not run",IF(EXACT(E104,H104),"Match","Review"))</x:f>
        <x:v>Not run</x:v>
      </x:c>
      <x:c r="J104" s="63" t="str">
        <x:v>Not assessed</x:v>
      </x:c>
      <x:c r="K104" s="63" t="str">
        <x:v>Not reviewed</x:v>
      </x:c>
      <x:c r="L104" s="63" t="str"/>
      <x:c r="M104" s="63" t="str"/>
      <x:c r="N104" s="64" t="str">
        <x:f>IF(AND(I104="Match",K104="Human approved"),"Yes","No")</x:f>
        <x:v>No</x:v>
      </x:c>
    </x:row>
    <x:row r="105" ht="43" customHeight="1">
      <x:c r="A105" s="62" t="str">
        <x:v>S07-05</x:v>
      </x:c>
      <x:c r="B105" s="63" t="str">
        <x:v>07_Project_Nova_Handwritten_Correction.png</x:v>
      </x:c>
      <x:c r="C105" s="63" t="str">
        <x:v>Printed page + blue handwriting</x:v>
      </x:c>
      <x:c r="D105" s="63" t="str">
        <x:v>Environment</x:v>
      </x:c>
      <x:c r="E105" s="63" t="str"/>
      <x:c r="F105" s="63" t="str">
        <x:v>Not assessed</x:v>
      </x:c>
      <x:c r="G105" s="63" t="str">
        <x:v>Printed authority versus handwritten proposal</x:v>
      </x:c>
      <x:c r="H105" s="63" t="str">
        <x:v>Production</x:v>
      </x:c>
      <x:c r="I105" s="63" t="str">
        <x:f>IF(E105="","Not run",IF(EXACT(E105,H105),"Match","Review"))</x:f>
        <x:v>Not run</x:v>
      </x:c>
      <x:c r="J105" s="63" t="str">
        <x:v>Not assessed</x:v>
      </x:c>
      <x:c r="K105" s="63" t="str">
        <x:v>Not reviewed</x:v>
      </x:c>
      <x:c r="L105" s="63" t="str"/>
      <x:c r="M105" s="63" t="str"/>
      <x:c r="N105" s="64" t="str">
        <x:f>IF(AND(I105="Match",K105="Human approved"),"Yes","No")</x:f>
        <x:v>No</x:v>
      </x:c>
    </x:row>
    <x:row r="106" ht="43" customHeight="1">
      <x:c r="A106" s="62" t="str">
        <x:v>S07-06</x:v>
      </x:c>
      <x:c r="B106" s="63" t="str">
        <x:v>07_Project_Nova_Handwritten_Correction.png</x:v>
      </x:c>
      <x:c r="C106" s="63" t="str">
        <x:v>Printed page + blue handwriting</x:v>
      </x:c>
      <x:c r="D106" s="63" t="str">
        <x:v>Effective date</x:v>
      </x:c>
      <x:c r="E106" s="63" t="str"/>
      <x:c r="F106" s="63" t="str">
        <x:v>Not assessed</x:v>
      </x:c>
      <x:c r="G106" s="63" t="str">
        <x:v>Printed authority versus handwritten proposal</x:v>
      </x:c>
      <x:c r="H106" s="63" t="str">
        <x:v>2026-09-15</x:v>
      </x:c>
      <x:c r="I106" s="63" t="str">
        <x:f>IF(E106="","Not run",IF(EXACT(E106,H106),"Match","Review"))</x:f>
        <x:v>Not run</x:v>
      </x:c>
      <x:c r="J106" s="63" t="str">
        <x:v>Not assessed</x:v>
      </x:c>
      <x:c r="K106" s="63" t="str">
        <x:v>Not reviewed</x:v>
      </x:c>
      <x:c r="L106" s="63" t="str"/>
      <x:c r="M106" s="63" t="str"/>
      <x:c r="N106" s="64" t="str">
        <x:f>IF(AND(I106="Match",K106="Human approved"),"Yes","No")</x:f>
        <x:v>No</x:v>
      </x:c>
    </x:row>
    <x:row r="107" ht="43" customHeight="1">
      <x:c r="A107" s="62" t="str">
        <x:v>S07-07</x:v>
      </x:c>
      <x:c r="B107" s="63" t="str">
        <x:v>07_Project_Nova_Handwritten_Correction.png</x:v>
      </x:c>
      <x:c r="C107" s="63" t="str">
        <x:v>Printed page + blue handwriting</x:v>
      </x:c>
      <x:c r="D107" s="63" t="str">
        <x:v>End date</x:v>
      </x:c>
      <x:c r="E107" s="63" t="str"/>
      <x:c r="F107" s="63" t="str">
        <x:v>Not assessed</x:v>
      </x:c>
      <x:c r="G107" s="63" t="str">
        <x:v>Printed authority versus handwritten proposal</x:v>
      </x:c>
      <x:c r="H107" s="63" t="str">
        <x:v>2026-12-31</x:v>
      </x:c>
      <x:c r="I107" s="63" t="str">
        <x:f>IF(E107="","Not run",IF(EXACT(E107,H107),"Match","Review"))</x:f>
        <x:v>Not run</x:v>
      </x:c>
      <x:c r="J107" s="63" t="str">
        <x:v>Not assessed</x:v>
      </x:c>
      <x:c r="K107" s="63" t="str">
        <x:v>Not reviewed</x:v>
      </x:c>
      <x:c r="L107" s="63" t="str"/>
      <x:c r="M107" s="63" t="str"/>
      <x:c r="N107" s="64" t="str">
        <x:f>IF(AND(I107="Match",K107="Human approved"),"Yes","No")</x:f>
        <x:v>No</x:v>
      </x:c>
    </x:row>
    <x:row r="108" ht="43" customHeight="1">
      <x:c r="A108" s="62" t="str">
        <x:v>S07-08</x:v>
      </x:c>
      <x:c r="B108" s="63" t="str">
        <x:v>07_Project_Nova_Handwritten_Correction.png</x:v>
      </x:c>
      <x:c r="C108" s="63" t="str">
        <x:v>Printed page + blue handwriting</x:v>
      </x:c>
      <x:c r="D108" s="63" t="str">
        <x:v>Cost centre</x:v>
      </x:c>
      <x:c r="E108" s="63" t="str"/>
      <x:c r="F108" s="63" t="str">
        <x:v>Not assessed</x:v>
      </x:c>
      <x:c r="G108" s="63" t="str">
        <x:v>Printed authority versus handwritten proposal</x:v>
      </x:c>
      <x:c r="H108" s="63" t="str">
        <x:v>CC-4710</x:v>
      </x:c>
      <x:c r="I108" s="63" t="str">
        <x:f>IF(E108="","Not run",IF(EXACT(E108,H108),"Match","Review"))</x:f>
        <x:v>Not run</x:v>
      </x:c>
      <x:c r="J108" s="63" t="str">
        <x:v>Not assessed</x:v>
      </x:c>
      <x:c r="K108" s="63" t="str">
        <x:v>Not reviewed</x:v>
      </x:c>
      <x:c r="L108" s="63" t="str"/>
      <x:c r="M108" s="63" t="str"/>
      <x:c r="N108" s="64" t="str">
        <x:f>IF(AND(I108="Match",K108="Human approved"),"Yes","No")</x:f>
        <x:v>No</x:v>
      </x:c>
    </x:row>
    <x:row r="109" ht="43" customHeight="1">
      <x:c r="A109" s="62" t="str">
        <x:v>S07-09</x:v>
      </x:c>
      <x:c r="B109" s="63" t="str">
        <x:v>07_Project_Nova_Handwritten_Correction.png</x:v>
      </x:c>
      <x:c r="C109" s="63" t="str">
        <x:v>Printed page + blue handwriting</x:v>
      </x:c>
      <x:c r="D109" s="63" t="str">
        <x:v>Licence cost</x:v>
      </x:c>
      <x:c r="E109" s="63" t="str"/>
      <x:c r="F109" s="63" t="str">
        <x:v>Not assessed</x:v>
      </x:c>
      <x:c r="G109" s="63" t="str">
        <x:v>Printed authority versus handwritten proposal</x:v>
      </x:c>
      <x:c r="H109" s="63" t="str">
        <x:v>EUR 1,250.00</x:v>
      </x:c>
      <x:c r="I109" s="63" t="str">
        <x:f>IF(E109="","Not run",IF(EXACT(E109,H109),"Match","Review"))</x:f>
        <x:v>Not run</x:v>
      </x:c>
      <x:c r="J109" s="63" t="str">
        <x:v>Not assessed</x:v>
      </x:c>
      <x:c r="K109" s="63" t="str">
        <x:v>Not reviewed</x:v>
      </x:c>
      <x:c r="L109" s="63" t="str"/>
      <x:c r="M109" s="63" t="str"/>
      <x:c r="N109" s="64" t="str">
        <x:f>IF(AND(I109="Match",K109="Human approved"),"Yes","No")</x:f>
        <x:v>No</x:v>
      </x:c>
    </x:row>
    <x:row r="110" ht="43" customHeight="1">
      <x:c r="A110" s="62" t="str">
        <x:v>S07-10</x:v>
      </x:c>
      <x:c r="B110" s="63" t="str">
        <x:v>07_Project_Nova_Handwritten_Correction.png</x:v>
      </x:c>
      <x:c r="C110" s="63" t="str">
        <x:v>Printed page + blue handwriting</x:v>
      </x:c>
      <x:c r="D110" s="63" t="str">
        <x:v>Approver</x:v>
      </x:c>
      <x:c r="E110" s="63" t="str"/>
      <x:c r="F110" s="63" t="str">
        <x:v>Not assessed</x:v>
      </x:c>
      <x:c r="G110" s="63" t="str">
        <x:v>Printed authority versus handwritten proposal</x:v>
      </x:c>
      <x:c r="H110" s="63" t="str">
        <x:v>Priya Nair</x:v>
      </x:c>
      <x:c r="I110" s="63" t="str">
        <x:f>IF(E110="","Not run",IF(EXACT(E110,H110),"Match","Review"))</x:f>
        <x:v>Not run</x:v>
      </x:c>
      <x:c r="J110" s="63" t="str">
        <x:v>Not assessed</x:v>
      </x:c>
      <x:c r="K110" s="63" t="str">
        <x:v>Not reviewed</x:v>
      </x:c>
      <x:c r="L110" s="63" t="str"/>
      <x:c r="M110" s="63" t="str"/>
      <x:c r="N110" s="64" t="str">
        <x:f>IF(AND(I110="Match",K110="Human approved"),"Yes","No")</x:f>
        <x:v>No</x:v>
      </x:c>
    </x:row>
    <x:row r="111" ht="43" customHeight="1">
      <x:c r="A111" s="62" t="str">
        <x:v>S07-11</x:v>
      </x:c>
      <x:c r="B111" s="63" t="str">
        <x:v>07_Project_Nova_Handwritten_Correction.png</x:v>
      </x:c>
      <x:c r="C111" s="63" t="str">
        <x:v>Printed page + blue handwriting</x:v>
      </x:c>
      <x:c r="D111" s="63" t="str">
        <x:v>Status</x:v>
      </x:c>
      <x:c r="E111" s="63" t="str"/>
      <x:c r="F111" s="63" t="str">
        <x:v>Not assessed</x:v>
      </x:c>
      <x:c r="G111" s="63" t="str">
        <x:v>Printed authority versus handwritten proposal</x:v>
      </x:c>
      <x:c r="H111" s="63" t="str">
        <x:v>Approved with conditions</x:v>
      </x:c>
      <x:c r="I111" s="63" t="str">
        <x:f>IF(E111="","Not run",IF(EXACT(E111,H111),"Match","Review"))</x:f>
        <x:v>Not run</x:v>
      </x:c>
      <x:c r="J111" s="63" t="str">
        <x:v>Not assessed</x:v>
      </x:c>
      <x:c r="K111" s="63" t="str">
        <x:v>Not reviewed</x:v>
      </x:c>
      <x:c r="L111" s="63" t="str"/>
      <x:c r="M111" s="63" t="str"/>
      <x:c r="N111" s="64" t="str">
        <x:f>IF(AND(I111="Match",K111="Human approved"),"Yes","No")</x:f>
        <x:v>No</x:v>
      </x:c>
    </x:row>
    <x:row r="112" ht="43" customHeight="1">
      <x:c r="A112" s="62" t="str">
        <x:v>S07-12</x:v>
      </x:c>
      <x:c r="B112" s="63" t="str">
        <x:v>07_Project_Nova_Handwritten_Correction.png</x:v>
      </x:c>
      <x:c r="C112" s="63" t="str">
        <x:v>Printed page + blue handwriting</x:v>
      </x:c>
      <x:c r="D112" s="63" t="str">
        <x:v>Manager approval</x:v>
      </x:c>
      <x:c r="E112" s="63" t="str"/>
      <x:c r="F112" s="63" t="str">
        <x:v>Not assessed</x:v>
      </x:c>
      <x:c r="G112" s="63" t="str">
        <x:v>Printed authority versus handwritten proposal</x:v>
      </x:c>
      <x:c r="H112" s="63" t="str">
        <x:v>Yes</x:v>
      </x:c>
      <x:c r="I112" s="63" t="str">
        <x:f>IF(E112="","Not run",IF(EXACT(E112,H112),"Match","Review"))</x:f>
        <x:v>Not run</x:v>
      </x:c>
      <x:c r="J112" s="63" t="str">
        <x:v>Not assessed</x:v>
      </x:c>
      <x:c r="K112" s="63" t="str">
        <x:v>Not reviewed</x:v>
      </x:c>
      <x:c r="L112" s="63" t="str"/>
      <x:c r="M112" s="63" t="str"/>
      <x:c r="N112" s="64" t="str">
        <x:f>IF(AND(I112="Match",K112="Human approved"),"Yes","No")</x:f>
        <x:v>No</x:v>
      </x:c>
    </x:row>
    <x:row r="113" ht="43" customHeight="1">
      <x:c r="A113" s="62" t="str">
        <x:v>S07-13</x:v>
      </x:c>
      <x:c r="B113" s="63" t="str">
        <x:v>07_Project_Nova_Handwritten_Correction.png</x:v>
      </x:c>
      <x:c r="C113" s="63" t="str">
        <x:v>Printed page + blue handwriting</x:v>
      </x:c>
      <x:c r="D113" s="63" t="str">
        <x:v>Security approval</x:v>
      </x:c>
      <x:c r="E113" s="63" t="str"/>
      <x:c r="F113" s="63" t="str">
        <x:v>Not assessed</x:v>
      </x:c>
      <x:c r="G113" s="63" t="str">
        <x:v>Printed authority versus handwritten proposal</x:v>
      </x:c>
      <x:c r="H113" s="63" t="str">
        <x:v>Yes</x:v>
      </x:c>
      <x:c r="I113" s="63" t="str">
        <x:f>IF(E113="","Not run",IF(EXACT(E113,H113),"Match","Review"))</x:f>
        <x:v>Not run</x:v>
      </x:c>
      <x:c r="J113" s="63" t="str">
        <x:v>Not assessed</x:v>
      </x:c>
      <x:c r="K113" s="63" t="str">
        <x:v>Not reviewed</x:v>
      </x:c>
      <x:c r="L113" s="63" t="str"/>
      <x:c r="M113" s="63" t="str"/>
      <x:c r="N113" s="64" t="str">
        <x:f>IF(AND(I113="Match",K113="Human approved"),"Yes","No")</x:f>
        <x:v>No</x:v>
      </x:c>
    </x:row>
    <x:row r="114" ht="43" customHeight="1">
      <x:c r="A114" s="62" t="str">
        <x:v>S07-14</x:v>
      </x:c>
      <x:c r="B114" s="63" t="str">
        <x:v>07_Project_Nova_Handwritten_Correction.png</x:v>
      </x:c>
      <x:c r="C114" s="63" t="str">
        <x:v>Printed page + blue handwriting</x:v>
      </x:c>
      <x:c r="D114" s="63" t="str">
        <x:v>MFA required</x:v>
      </x:c>
      <x:c r="E114" s="63" t="str"/>
      <x:c r="F114" s="63" t="str">
        <x:v>Not assessed</x:v>
      </x:c>
      <x:c r="G114" s="63" t="str">
        <x:v>Printed authority versus handwritten proposal</x:v>
      </x:c>
      <x:c r="H114" s="63" t="str">
        <x:v>Yes</x:v>
      </x:c>
      <x:c r="I114" s="63" t="str">
        <x:f>IF(E114="","Not run",IF(EXACT(E114,H114),"Match","Review"))</x:f>
        <x:v>Not run</x:v>
      </x:c>
      <x:c r="J114" s="63" t="str">
        <x:v>Not assessed</x:v>
      </x:c>
      <x:c r="K114" s="63" t="str">
        <x:v>Not reviewed</x:v>
      </x:c>
      <x:c r="L114" s="63" t="str"/>
      <x:c r="M114" s="63" t="str"/>
      <x:c r="N114" s="64" t="str">
        <x:f>IF(AND(I114="Match",K114="Human approved"),"Yes","No")</x:f>
        <x:v>No</x:v>
      </x:c>
    </x:row>
    <x:row r="115" ht="43" customHeight="1">
      <x:c r="A115" s="62" t="str">
        <x:v>S07-15</x:v>
      </x:c>
      <x:c r="B115" s="63" t="str">
        <x:v>07_Project_Nova_Handwritten_Correction.png</x:v>
      </x:c>
      <x:c r="C115" s="63" t="str">
        <x:v>Printed page + blue handwriting</x:v>
      </x:c>
      <x:c r="D115" s="63" t="str">
        <x:v>Privileged access</x:v>
      </x:c>
      <x:c r="E115" s="63" t="str"/>
      <x:c r="F115" s="63" t="str">
        <x:v>Not assessed</x:v>
      </x:c>
      <x:c r="G115" s="63" t="str">
        <x:v>Printed authority versus handwritten proposal</x:v>
      </x:c>
      <x:c r="H115" s="63" t="str">
        <x:v>Yes</x:v>
      </x:c>
      <x:c r="I115" s="63" t="str">
        <x:f>IF(E115="","Not run",IF(EXACT(E115,H115),"Match","Review"))</x:f>
        <x:v>Not run</x:v>
      </x:c>
      <x:c r="J115" s="63" t="str">
        <x:v>Not assessed</x:v>
      </x:c>
      <x:c r="K115" s="63" t="str">
        <x:v>Not reviewed</x:v>
      </x:c>
      <x:c r="L115" s="63" t="str"/>
      <x:c r="M115" s="63" t="str"/>
      <x:c r="N115" s="64" t="str">
        <x:f>IF(AND(I115="Match",K115="Human approved"),"Yes","No")</x:f>
        <x:v>No</x:v>
      </x:c>
    </x:row>
    <x:row r="116" ht="43" customHeight="1">
      <x:c r="A116" s="62" t="str">
        <x:v>S07-16</x:v>
      </x:c>
      <x:c r="B116" s="63" t="str">
        <x:v>07_Project_Nova_Handwritten_Correction.png</x:v>
      </x:c>
      <x:c r="C116" s="63" t="str">
        <x:v>Printed page + blue handwriting</x:v>
      </x:c>
      <x:c r="D116" s="63" t="str">
        <x:v>Handwritten proposed end date</x:v>
      </x:c>
      <x:c r="E116" s="63" t="str"/>
      <x:c r="F116" s="63" t="str">
        <x:v>Not assessed</x:v>
      </x:c>
      <x:c r="G116" s="63" t="str">
        <x:v>Printed authority versus handwritten proposal</x:v>
      </x:c>
      <x:c r="H116" s="63" t="str">
        <x:v>2027-01-15</x:v>
      </x:c>
      <x:c r="I116" s="63" t="str">
        <x:f>IF(E116="","Not run",IF(EXACT(E116,H116),"Match","Review"))</x:f>
        <x:v>Not run</x:v>
      </x:c>
      <x:c r="J116" s="63" t="str">
        <x:v>Proposed</x:v>
      </x:c>
      <x:c r="K116" s="63" t="str">
        <x:v>Not reviewed</x:v>
      </x:c>
      <x:c r="L116" s="63" t="str"/>
      <x:c r="M116" s="63" t="str"/>
      <x:c r="N116" s="64" t="str">
        <x:f>IF(AND(I116="Match",K116="Human approved"),"Yes","No")</x:f>
        <x:v>No</x:v>
      </x:c>
    </x:row>
    <x:row r="117" ht="43" customHeight="1">
      <x:c r="A117" s="62" t="str">
        <x:v>S08-01</x:v>
      </x:c>
      <x:c r="B117" s="63" t="str">
        <x:v>08_Project_Nova_Hybrid_Scan.pdf</x:v>
      </x:c>
      <x:c r="C117" s="63" t="str">
        <x:v>Page 1</x:v>
      </x:c>
      <x:c r="D117" s="63" t="str">
        <x:v>Request ID</x:v>
      </x:c>
      <x:c r="E117" s="63" t="str"/>
      <x:c r="F117" s="63" t="str">
        <x:v>Not assessed</x:v>
      </x:c>
      <x:c r="G117" s="63" t="str">
        <x:v>Searchable text plus scanned stamp/signature</x:v>
      </x:c>
      <x:c r="H117" s="63" t="str">
        <x:v>AR-2048</x:v>
      </x:c>
      <x:c r="I117" s="63" t="str">
        <x:f>IF(E117="","Not run",IF(EXACT(E117,H117),"Match","Review"))</x:f>
        <x:v>Not run</x:v>
      </x:c>
      <x:c r="J117" s="63" t="str">
        <x:v>Not assessed</x:v>
      </x:c>
      <x:c r="K117" s="63" t="str">
        <x:v>Not reviewed</x:v>
      </x:c>
      <x:c r="L117" s="63" t="str"/>
      <x:c r="M117" s="63" t="str"/>
      <x:c r="N117" s="64" t="str">
        <x:f>IF(AND(I117="Match",K117="Human approved"),"Yes","No")</x:f>
        <x:v>No</x:v>
      </x:c>
    </x:row>
    <x:row r="118" ht="43" customHeight="1">
      <x:c r="A118" s="62" t="str">
        <x:v>S08-02</x:v>
      </x:c>
      <x:c r="B118" s="63" t="str">
        <x:v>08_Project_Nova_Hybrid_Scan.pdf</x:v>
      </x:c>
      <x:c r="C118" s="63" t="str">
        <x:v>Page 1</x:v>
      </x:c>
      <x:c r="D118" s="63" t="str">
        <x:v>Requester</x:v>
      </x:c>
      <x:c r="E118" s="63" t="str"/>
      <x:c r="F118" s="63" t="str">
        <x:v>Not assessed</x:v>
      </x:c>
      <x:c r="G118" s="63" t="str">
        <x:v>Searchable text plus scanned stamp/signature</x:v>
      </x:c>
      <x:c r="H118" s="63" t="str">
        <x:v>Mika Olsen</x:v>
      </x:c>
      <x:c r="I118" s="63" t="str">
        <x:f>IF(E118="","Not run",IF(EXACT(E118,H118),"Match","Review"))</x:f>
        <x:v>Not run</x:v>
      </x:c>
      <x:c r="J118" s="63" t="str">
        <x:v>Not assessed</x:v>
      </x:c>
      <x:c r="K118" s="63" t="str">
        <x:v>Not reviewed</x:v>
      </x:c>
      <x:c r="L118" s="63" t="str"/>
      <x:c r="M118" s="63" t="str"/>
      <x:c r="N118" s="64" t="str">
        <x:f>IF(AND(I118="Match",K118="Human approved"),"Yes","No")</x:f>
        <x:v>No</x:v>
      </x:c>
    </x:row>
    <x:row r="119" ht="43" customHeight="1">
      <x:c r="A119" s="62" t="str">
        <x:v>S08-03</x:v>
      </x:c>
      <x:c r="B119" s="63" t="str">
        <x:v>08_Project_Nova_Hybrid_Scan.pdf</x:v>
      </x:c>
      <x:c r="C119" s="63" t="str">
        <x:v>Page 1</x:v>
      </x:c>
      <x:c r="D119" s="63" t="str">
        <x:v>Business unit</x:v>
      </x:c>
      <x:c r="E119" s="63" t="str"/>
      <x:c r="F119" s="63" t="str">
        <x:v>Not assessed</x:v>
      </x:c>
      <x:c r="G119" s="63" t="str">
        <x:v>Searchable text plus scanned stamp/signature</x:v>
      </x:c>
      <x:c r="H119" s="63" t="str">
        <x:v>Finance Operations</x:v>
      </x:c>
      <x:c r="I119" s="63" t="str">
        <x:f>IF(E119="","Not run",IF(EXACT(E119,H119),"Match","Review"))</x:f>
        <x:v>Not run</x:v>
      </x:c>
      <x:c r="J119" s="63" t="str">
        <x:v>Not assessed</x:v>
      </x:c>
      <x:c r="K119" s="63" t="str">
        <x:v>Not reviewed</x:v>
      </x:c>
      <x:c r="L119" s="63" t="str"/>
      <x:c r="M119" s="63" t="str"/>
      <x:c r="N119" s="64" t="str">
        <x:f>IF(AND(I119="Match",K119="Human approved"),"Yes","No")</x:f>
        <x:v>No</x:v>
      </x:c>
    </x:row>
    <x:row r="120" ht="43" customHeight="1">
      <x:c r="A120" s="62" t="str">
        <x:v>S08-04</x:v>
      </x:c>
      <x:c r="B120" s="63" t="str">
        <x:v>08_Project_Nova_Hybrid_Scan.pdf</x:v>
      </x:c>
      <x:c r="C120" s="63" t="str">
        <x:v>Page 1</x:v>
      </x:c>
      <x:c r="D120" s="63" t="str">
        <x:v>Access type</x:v>
      </x:c>
      <x:c r="E120" s="63" t="str"/>
      <x:c r="F120" s="63" t="str">
        <x:v>Not assessed</x:v>
      </x:c>
      <x:c r="G120" s="63" t="str">
        <x:v>Searchable text plus scanned stamp/signature</x:v>
      </x:c>
      <x:c r="H120" s="63" t="str">
        <x:v>FinanceHub Approver</x:v>
      </x:c>
      <x:c r="I120" s="63" t="str">
        <x:f>IF(E120="","Not run",IF(EXACT(E120,H120),"Match","Review"))</x:f>
        <x:v>Not run</x:v>
      </x:c>
      <x:c r="J120" s="63" t="str">
        <x:v>Not assessed</x:v>
      </x:c>
      <x:c r="K120" s="63" t="str">
        <x:v>Not reviewed</x:v>
      </x:c>
      <x:c r="L120" s="63" t="str"/>
      <x:c r="M120" s="63" t="str"/>
      <x:c r="N120" s="64" t="str">
        <x:f>IF(AND(I120="Match",K120="Human approved"),"Yes","No")</x:f>
        <x:v>No</x:v>
      </x:c>
    </x:row>
    <x:row r="121" ht="43" customHeight="1">
      <x:c r="A121" s="62" t="str">
        <x:v>S08-05</x:v>
      </x:c>
      <x:c r="B121" s="63" t="str">
        <x:v>08_Project_Nova_Hybrid_Scan.pdf</x:v>
      </x:c>
      <x:c r="C121" s="63" t="str">
        <x:v>Page 1</x:v>
      </x:c>
      <x:c r="D121" s="63" t="str">
        <x:v>Environment</x:v>
      </x:c>
      <x:c r="E121" s="63" t="str"/>
      <x:c r="F121" s="63" t="str">
        <x:v>Not assessed</x:v>
      </x:c>
      <x:c r="G121" s="63" t="str">
        <x:v>Searchable text plus scanned stamp/signature</x:v>
      </x:c>
      <x:c r="H121" s="63" t="str">
        <x:v>Production</x:v>
      </x:c>
      <x:c r="I121" s="63" t="str">
        <x:f>IF(E121="","Not run",IF(EXACT(E121,H121),"Match","Review"))</x:f>
        <x:v>Not run</x:v>
      </x:c>
      <x:c r="J121" s="63" t="str">
        <x:v>Not assessed</x:v>
      </x:c>
      <x:c r="K121" s="63" t="str">
        <x:v>Not reviewed</x:v>
      </x:c>
      <x:c r="L121" s="63" t="str"/>
      <x:c r="M121" s="63" t="str"/>
      <x:c r="N121" s="64" t="str">
        <x:f>IF(AND(I121="Match",K121="Human approved"),"Yes","No")</x:f>
        <x:v>No</x:v>
      </x:c>
    </x:row>
    <x:row r="122" ht="43" customHeight="1">
      <x:c r="A122" s="62" t="str">
        <x:v>S08-06</x:v>
      </x:c>
      <x:c r="B122" s="63" t="str">
        <x:v>08_Project_Nova_Hybrid_Scan.pdf</x:v>
      </x:c>
      <x:c r="C122" s="63" t="str">
        <x:v>Page 1</x:v>
      </x:c>
      <x:c r="D122" s="63" t="str">
        <x:v>Effective date</x:v>
      </x:c>
      <x:c r="E122" s="63" t="str"/>
      <x:c r="F122" s="63" t="str">
        <x:v>Not assessed</x:v>
      </x:c>
      <x:c r="G122" s="63" t="str">
        <x:v>Searchable text plus scanned stamp/signature</x:v>
      </x:c>
      <x:c r="H122" s="63" t="str">
        <x:v>2026-09-15</x:v>
      </x:c>
      <x:c r="I122" s="63" t="str">
        <x:f>IF(E122="","Not run",IF(EXACT(E122,H122),"Match","Review"))</x:f>
        <x:v>Not run</x:v>
      </x:c>
      <x:c r="J122" s="63" t="str">
        <x:v>Not assessed</x:v>
      </x:c>
      <x:c r="K122" s="63" t="str">
        <x:v>Not reviewed</x:v>
      </x:c>
      <x:c r="L122" s="63" t="str"/>
      <x:c r="M122" s="63" t="str"/>
      <x:c r="N122" s="64" t="str">
        <x:f>IF(AND(I122="Match",K122="Human approved"),"Yes","No")</x:f>
        <x:v>No</x:v>
      </x:c>
    </x:row>
    <x:row r="123" ht="43" customHeight="1">
      <x:c r="A123" s="62" t="str">
        <x:v>S08-07</x:v>
      </x:c>
      <x:c r="B123" s="63" t="str">
        <x:v>08_Project_Nova_Hybrid_Scan.pdf</x:v>
      </x:c>
      <x:c r="C123" s="63" t="str">
        <x:v>Page 1</x:v>
      </x:c>
      <x:c r="D123" s="63" t="str">
        <x:v>End date</x:v>
      </x:c>
      <x:c r="E123" s="63" t="str"/>
      <x:c r="F123" s="63" t="str">
        <x:v>Not assessed</x:v>
      </x:c>
      <x:c r="G123" s="63" t="str">
        <x:v>Searchable text plus scanned stamp/signature</x:v>
      </x:c>
      <x:c r="H123" s="63" t="str">
        <x:v>2026-12-31</x:v>
      </x:c>
      <x:c r="I123" s="63" t="str">
        <x:f>IF(E123="","Not run",IF(EXACT(E123,H123),"Match","Review"))</x:f>
        <x:v>Not run</x:v>
      </x:c>
      <x:c r="J123" s="63" t="str">
        <x:v>Not assessed</x:v>
      </x:c>
      <x:c r="K123" s="63" t="str">
        <x:v>Not reviewed</x:v>
      </x:c>
      <x:c r="L123" s="63" t="str"/>
      <x:c r="M123" s="63" t="str"/>
      <x:c r="N123" s="64" t="str">
        <x:f>IF(AND(I123="Match",K123="Human approved"),"Yes","No")</x:f>
        <x:v>No</x:v>
      </x:c>
    </x:row>
    <x:row r="124" ht="43" customHeight="1">
      <x:c r="A124" s="62" t="str">
        <x:v>S08-08</x:v>
      </x:c>
      <x:c r="B124" s="63" t="str">
        <x:v>08_Project_Nova_Hybrid_Scan.pdf</x:v>
      </x:c>
      <x:c r="C124" s="63" t="str">
        <x:v>Page 1</x:v>
      </x:c>
      <x:c r="D124" s="63" t="str">
        <x:v>Cost centre</x:v>
      </x:c>
      <x:c r="E124" s="63" t="str"/>
      <x:c r="F124" s="63" t="str">
        <x:v>Not assessed</x:v>
      </x:c>
      <x:c r="G124" s="63" t="str">
        <x:v>Searchable text plus scanned stamp/signature</x:v>
      </x:c>
      <x:c r="H124" s="63" t="str">
        <x:v>CC-4710</x:v>
      </x:c>
      <x:c r="I124" s="63" t="str">
        <x:f>IF(E124="","Not run",IF(EXACT(E124,H124),"Match","Review"))</x:f>
        <x:v>Not run</x:v>
      </x:c>
      <x:c r="J124" s="63" t="str">
        <x:v>Not assessed</x:v>
      </x:c>
      <x:c r="K124" s="63" t="str">
        <x:v>Not reviewed</x:v>
      </x:c>
      <x:c r="L124" s="63" t="str"/>
      <x:c r="M124" s="63" t="str"/>
      <x:c r="N124" s="64" t="str">
        <x:f>IF(AND(I124="Match",K124="Human approved"),"Yes","No")</x:f>
        <x:v>No</x:v>
      </x:c>
    </x:row>
    <x:row r="125" ht="43" customHeight="1">
      <x:c r="A125" s="62" t="str">
        <x:v>S08-09</x:v>
      </x:c>
      <x:c r="B125" s="63" t="str">
        <x:v>08_Project_Nova_Hybrid_Scan.pdf</x:v>
      </x:c>
      <x:c r="C125" s="63" t="str">
        <x:v>Page 1</x:v>
      </x:c>
      <x:c r="D125" s="63" t="str">
        <x:v>Licence cost</x:v>
      </x:c>
      <x:c r="E125" s="63" t="str"/>
      <x:c r="F125" s="63" t="str">
        <x:v>Not assessed</x:v>
      </x:c>
      <x:c r="G125" s="63" t="str">
        <x:v>Searchable text plus scanned stamp/signature</x:v>
      </x:c>
      <x:c r="H125" s="63" t="str">
        <x:v>EUR 1,250.00</x:v>
      </x:c>
      <x:c r="I125" s="63" t="str">
        <x:f>IF(E125="","Not run",IF(EXACT(E125,H125),"Match","Review"))</x:f>
        <x:v>Not run</x:v>
      </x:c>
      <x:c r="J125" s="63" t="str">
        <x:v>Not assessed</x:v>
      </x:c>
      <x:c r="K125" s="63" t="str">
        <x:v>Not reviewed</x:v>
      </x:c>
      <x:c r="L125" s="63" t="str"/>
      <x:c r="M125" s="63" t="str"/>
      <x:c r="N125" s="64" t="str">
        <x:f>IF(AND(I125="Match",K125="Human approved"),"Yes","No")</x:f>
        <x:v>No</x:v>
      </x:c>
    </x:row>
    <x:row r="126" ht="43" customHeight="1">
      <x:c r="A126" s="62" t="str">
        <x:v>S08-10</x:v>
      </x:c>
      <x:c r="B126" s="63" t="str">
        <x:v>08_Project_Nova_Hybrid_Scan.pdf</x:v>
      </x:c>
      <x:c r="C126" s="63" t="str">
        <x:v>Page 1</x:v>
      </x:c>
      <x:c r="D126" s="63" t="str">
        <x:v>Approver</x:v>
      </x:c>
      <x:c r="E126" s="63" t="str"/>
      <x:c r="F126" s="63" t="str">
        <x:v>Not assessed</x:v>
      </x:c>
      <x:c r="G126" s="63" t="str">
        <x:v>Searchable text plus scanned stamp/signature</x:v>
      </x:c>
      <x:c r="H126" s="63" t="str">
        <x:v>Priya Nair</x:v>
      </x:c>
      <x:c r="I126" s="63" t="str">
        <x:f>IF(E126="","Not run",IF(EXACT(E126,H126),"Match","Review"))</x:f>
        <x:v>Not run</x:v>
      </x:c>
      <x:c r="J126" s="63" t="str">
        <x:v>Not assessed</x:v>
      </x:c>
      <x:c r="K126" s="63" t="str">
        <x:v>Not reviewed</x:v>
      </x:c>
      <x:c r="L126" s="63" t="str"/>
      <x:c r="M126" s="63" t="str"/>
      <x:c r="N126" s="64" t="str">
        <x:f>IF(AND(I126="Match",K126="Human approved"),"Yes","No")</x:f>
        <x:v>No</x:v>
      </x:c>
    </x:row>
    <x:row r="127" ht="43" customHeight="1">
      <x:c r="A127" s="62" t="str">
        <x:v>S08-11</x:v>
      </x:c>
      <x:c r="B127" s="63" t="str">
        <x:v>08_Project_Nova_Hybrid_Scan.pdf</x:v>
      </x:c>
      <x:c r="C127" s="63" t="str">
        <x:v>Page 1</x:v>
      </x:c>
      <x:c r="D127" s="63" t="str">
        <x:v>Status</x:v>
      </x:c>
      <x:c r="E127" s="63" t="str"/>
      <x:c r="F127" s="63" t="str">
        <x:v>Not assessed</x:v>
      </x:c>
      <x:c r="G127" s="63" t="str">
        <x:v>Searchable text plus scanned stamp/signature</x:v>
      </x:c>
      <x:c r="H127" s="63" t="str">
        <x:v>Approved with conditions</x:v>
      </x:c>
      <x:c r="I127" s="63" t="str">
        <x:f>IF(E127="","Not run",IF(EXACT(E127,H127),"Match","Review"))</x:f>
        <x:v>Not run</x:v>
      </x:c>
      <x:c r="J127" s="63" t="str">
        <x:v>Not assessed</x:v>
      </x:c>
      <x:c r="K127" s="63" t="str">
        <x:v>Not reviewed</x:v>
      </x:c>
      <x:c r="L127" s="63" t="str"/>
      <x:c r="M127" s="63" t="str"/>
      <x:c r="N127" s="64" t="str">
        <x:f>IF(AND(I127="Match",K127="Human approved"),"Yes","No")</x:f>
        <x:v>No</x:v>
      </x:c>
    </x:row>
    <x:row r="128" ht="43" customHeight="1">
      <x:c r="A128" s="62" t="str">
        <x:v>S08-12</x:v>
      </x:c>
      <x:c r="B128" s="63" t="str">
        <x:v>08_Project_Nova_Hybrid_Scan.pdf</x:v>
      </x:c>
      <x:c r="C128" s="63" t="str">
        <x:v>Page 1</x:v>
      </x:c>
      <x:c r="D128" s="63" t="str">
        <x:v>Manager approval</x:v>
      </x:c>
      <x:c r="E128" s="63" t="str"/>
      <x:c r="F128" s="63" t="str">
        <x:v>Not assessed</x:v>
      </x:c>
      <x:c r="G128" s="63" t="str">
        <x:v>Searchable text plus scanned stamp/signature</x:v>
      </x:c>
      <x:c r="H128" s="63" t="str">
        <x:v>Yes</x:v>
      </x:c>
      <x:c r="I128" s="63" t="str">
        <x:f>IF(E128="","Not run",IF(EXACT(E128,H128),"Match","Review"))</x:f>
        <x:v>Not run</x:v>
      </x:c>
      <x:c r="J128" s="63" t="str">
        <x:v>Not assessed</x:v>
      </x:c>
      <x:c r="K128" s="63" t="str">
        <x:v>Not reviewed</x:v>
      </x:c>
      <x:c r="L128" s="63" t="str"/>
      <x:c r="M128" s="63" t="str"/>
      <x:c r="N128" s="64" t="str">
        <x:f>IF(AND(I128="Match",K128="Human approved"),"Yes","No")</x:f>
        <x:v>No</x:v>
      </x:c>
    </x:row>
    <x:row r="129" ht="43" customHeight="1">
      <x:c r="A129" s="62" t="str">
        <x:v>S08-13</x:v>
      </x:c>
      <x:c r="B129" s="63" t="str">
        <x:v>08_Project_Nova_Hybrid_Scan.pdf</x:v>
      </x:c>
      <x:c r="C129" s="63" t="str">
        <x:v>Page 1</x:v>
      </x:c>
      <x:c r="D129" s="63" t="str">
        <x:v>Security approval</x:v>
      </x:c>
      <x:c r="E129" s="63" t="str"/>
      <x:c r="F129" s="63" t="str">
        <x:v>Not assessed</x:v>
      </x:c>
      <x:c r="G129" s="63" t="str">
        <x:v>Searchable text plus scanned stamp/signature</x:v>
      </x:c>
      <x:c r="H129" s="63" t="str">
        <x:v>Yes</x:v>
      </x:c>
      <x:c r="I129" s="63" t="str">
        <x:f>IF(E129="","Not run",IF(EXACT(E129,H129),"Match","Review"))</x:f>
        <x:v>Not run</x:v>
      </x:c>
      <x:c r="J129" s="63" t="str">
        <x:v>Not assessed</x:v>
      </x:c>
      <x:c r="K129" s="63" t="str">
        <x:v>Not reviewed</x:v>
      </x:c>
      <x:c r="L129" s="63" t="str"/>
      <x:c r="M129" s="63" t="str"/>
      <x:c r="N129" s="64" t="str">
        <x:f>IF(AND(I129="Match",K129="Human approved"),"Yes","No")</x:f>
        <x:v>No</x:v>
      </x:c>
    </x:row>
    <x:row r="130" ht="43" customHeight="1">
      <x:c r="A130" s="62" t="str">
        <x:v>S08-14</x:v>
      </x:c>
      <x:c r="B130" s="63" t="str">
        <x:v>08_Project_Nova_Hybrid_Scan.pdf</x:v>
      </x:c>
      <x:c r="C130" s="63" t="str">
        <x:v>Page 1</x:v>
      </x:c>
      <x:c r="D130" s="63" t="str">
        <x:v>MFA required</x:v>
      </x:c>
      <x:c r="E130" s="63" t="str"/>
      <x:c r="F130" s="63" t="str">
        <x:v>Not assessed</x:v>
      </x:c>
      <x:c r="G130" s="63" t="str">
        <x:v>Searchable text plus scanned stamp/signature</x:v>
      </x:c>
      <x:c r="H130" s="63" t="str">
        <x:v>Yes</x:v>
      </x:c>
      <x:c r="I130" s="63" t="str">
        <x:f>IF(E130="","Not run",IF(EXACT(E130,H130),"Match","Review"))</x:f>
        <x:v>Not run</x:v>
      </x:c>
      <x:c r="J130" s="63" t="str">
        <x:v>Not assessed</x:v>
      </x:c>
      <x:c r="K130" s="63" t="str">
        <x:v>Not reviewed</x:v>
      </x:c>
      <x:c r="L130" s="63" t="str"/>
      <x:c r="M130" s="63" t="str"/>
      <x:c r="N130" s="64" t="str">
        <x:f>IF(AND(I130="Match",K130="Human approved"),"Yes","No")</x:f>
        <x:v>No</x:v>
      </x:c>
    </x:row>
    <x:row r="131" ht="43" customHeight="1">
      <x:c r="A131" s="62" t="str">
        <x:v>S08-15</x:v>
      </x:c>
      <x:c r="B131" s="63" t="str">
        <x:v>08_Project_Nova_Hybrid_Scan.pdf</x:v>
      </x:c>
      <x:c r="C131" s="63" t="str">
        <x:v>Page 1</x:v>
      </x:c>
      <x:c r="D131" s="63" t="str">
        <x:v>Privileged access</x:v>
      </x:c>
      <x:c r="E131" s="63" t="str"/>
      <x:c r="F131" s="63" t="str">
        <x:v>Not assessed</x:v>
      </x:c>
      <x:c r="G131" s="63" t="str">
        <x:v>Searchable text plus scanned stamp/signature</x:v>
      </x:c>
      <x:c r="H131" s="63" t="str">
        <x:v>Yes</x:v>
      </x:c>
      <x:c r="I131" s="63" t="str">
        <x:f>IF(E131="","Not run",IF(EXACT(E131,H131),"Match","Review"))</x:f>
        <x:v>Not run</x:v>
      </x:c>
      <x:c r="J131" s="63" t="str">
        <x:v>Not assessed</x:v>
      </x:c>
      <x:c r="K131" s="63" t="str">
        <x:v>Not reviewed</x:v>
      </x:c>
      <x:c r="L131" s="63" t="str"/>
      <x:c r="M131" s="63" t="str"/>
      <x:c r="N131" s="64" t="str">
        <x:f>IF(AND(I131="Match",K131="Human approved"),"Yes","No")</x:f>
        <x:v>No</x:v>
      </x:c>
    </x:row>
    <x:row r="132" ht="43" customHeight="1">
      <x:c r="A132" s="62" t="str">
        <x:v>S08-16</x:v>
      </x:c>
      <x:c r="B132" s="63" t="str">
        <x:v>08_Project_Nova_Hybrid_Scan.pdf</x:v>
      </x:c>
      <x:c r="C132" s="63" t="str">
        <x:v>Page 1</x:v>
      </x:c>
      <x:c r="D132" s="63" t="str">
        <x:v>Handwritten proposed end date</x:v>
      </x:c>
      <x:c r="E132" s="63" t="str"/>
      <x:c r="F132" s="63" t="str">
        <x:v>Not assessed</x:v>
      </x:c>
      <x:c r="G132" s="63" t="str">
        <x:v>Searchable text plus scanned stamp/signature</x:v>
      </x:c>
      <x:c r="H132" s="63" t="str">
        <x:v>Not confirmed</x:v>
      </x:c>
      <x:c r="I132" s="63" t="str">
        <x:f>IF(E132="","Not run",IF(EXACT(E132,H132),"Match","Review"))</x:f>
        <x:v>Not run</x:v>
      </x:c>
      <x:c r="J132" s="63" t="str">
        <x:v>Not assessed</x:v>
      </x:c>
      <x:c r="K132" s="63" t="str">
        <x:v>Not reviewed</x:v>
      </x:c>
      <x:c r="L132" s="63" t="str"/>
      <x:c r="M132" s="63" t="str"/>
      <x:c r="N132" s="64" t="str">
        <x:f>IF(AND(I132="Match",K132="Human approved"),"Yes","No")</x:f>
        <x:v>No</x:v>
      </x:c>
    </x:row>
    <x:row r="133" ht="43" customHeight="1">
      <x:c r="A133" s="62" t="str">
        <x:v>S09-01</x:v>
      </x:c>
      <x:c r="B133" s="63" t="str">
        <x:v>09_Project_Nova_Table_Photo.jpg</x:v>
      </x:c>
      <x:c r="C133" s="63" t="str">
        <x:v>AR-2048 row</x:v>
      </x:c>
      <x:c r="D133" s="63" t="str">
        <x:v>Request ID</x:v>
      </x:c>
      <x:c r="E133" s="63" t="str"/>
      <x:c r="F133" s="63" t="str">
        <x:v>Not assessed</x:v>
      </x:c>
      <x:c r="G133" s="63" t="str">
        <x:v>Row association and similar identifiers</x:v>
      </x:c>
      <x:c r="H133" s="63" t="str">
        <x:v>AR-2048</x:v>
      </x:c>
      <x:c r="I133" s="63" t="str">
        <x:f>IF(E133="","Not run",IF(EXACT(E133,H133),"Match","Review"))</x:f>
        <x:v>Not run</x:v>
      </x:c>
      <x:c r="J133" s="63" t="str">
        <x:v>Not assessed</x:v>
      </x:c>
      <x:c r="K133" s="63" t="str">
        <x:v>Not reviewed</x:v>
      </x:c>
      <x:c r="L133" s="63" t="str"/>
      <x:c r="M133" s="63" t="str"/>
      <x:c r="N133" s="64" t="str">
        <x:f>IF(AND(I133="Match",K133="Human approved"),"Yes","No")</x:f>
        <x:v>No</x:v>
      </x:c>
    </x:row>
    <x:row r="134" ht="43" customHeight="1">
      <x:c r="A134" s="62" t="str">
        <x:v>S09-02</x:v>
      </x:c>
      <x:c r="B134" s="63" t="str">
        <x:v>09_Project_Nova_Table_Photo.jpg</x:v>
      </x:c>
      <x:c r="C134" s="63" t="str">
        <x:v>AR-2048 row</x:v>
      </x:c>
      <x:c r="D134" s="63" t="str">
        <x:v>Requester</x:v>
      </x:c>
      <x:c r="E134" s="63" t="str"/>
      <x:c r="F134" s="63" t="str">
        <x:v>Not assessed</x:v>
      </x:c>
      <x:c r="G134" s="63" t="str">
        <x:v>Row association and similar identifiers</x:v>
      </x:c>
      <x:c r="H134" s="63" t="str">
        <x:v>Mika Olsen</x:v>
      </x:c>
      <x:c r="I134" s="63" t="str">
        <x:f>IF(E134="","Not run",IF(EXACT(E134,H134),"Match","Review"))</x:f>
        <x:v>Not run</x:v>
      </x:c>
      <x:c r="J134" s="63" t="str">
        <x:v>Not assessed</x:v>
      </x:c>
      <x:c r="K134" s="63" t="str">
        <x:v>Not reviewed</x:v>
      </x:c>
      <x:c r="L134" s="63" t="str"/>
      <x:c r="M134" s="63" t="str"/>
      <x:c r="N134" s="64" t="str">
        <x:f>IF(AND(I134="Match",K134="Human approved"),"Yes","No")</x:f>
        <x:v>No</x:v>
      </x:c>
    </x:row>
    <x:row r="135" ht="43" customHeight="1">
      <x:c r="A135" s="62" t="str">
        <x:v>S09-03</x:v>
      </x:c>
      <x:c r="B135" s="63" t="str">
        <x:v>09_Project_Nova_Table_Photo.jpg</x:v>
      </x:c>
      <x:c r="C135" s="63" t="str">
        <x:v>AR-2048 row</x:v>
      </x:c>
      <x:c r="D135" s="63" t="str">
        <x:v>Business unit</x:v>
      </x:c>
      <x:c r="E135" s="63" t="str"/>
      <x:c r="F135" s="63" t="str">
        <x:v>Not assessed</x:v>
      </x:c>
      <x:c r="G135" s="63" t="str">
        <x:v>Row association and similar identifiers</x:v>
      </x:c>
      <x:c r="H135" s="63" t="str">
        <x:v>Not confirmed</x:v>
      </x:c>
      <x:c r="I135" s="63" t="str">
        <x:f>IF(E135="","Not run",IF(EXACT(E135,H135),"Match","Review"))</x:f>
        <x:v>Not run</x:v>
      </x:c>
      <x:c r="J135" s="63" t="str">
        <x:v>Not assessed</x:v>
      </x:c>
      <x:c r="K135" s="63" t="str">
        <x:v>Not reviewed</x:v>
      </x:c>
      <x:c r="L135" s="63" t="str"/>
      <x:c r="M135" s="63" t="str"/>
      <x:c r="N135" s="64" t="str">
        <x:f>IF(AND(I135="Match",K135="Human approved"),"Yes","No")</x:f>
        <x:v>No</x:v>
      </x:c>
    </x:row>
    <x:row r="136" ht="43" customHeight="1">
      <x:c r="A136" s="62" t="str">
        <x:v>S09-04</x:v>
      </x:c>
      <x:c r="B136" s="63" t="str">
        <x:v>09_Project_Nova_Table_Photo.jpg</x:v>
      </x:c>
      <x:c r="C136" s="63" t="str">
        <x:v>AR-2048 row</x:v>
      </x:c>
      <x:c r="D136" s="63" t="str">
        <x:v>Access type</x:v>
      </x:c>
      <x:c r="E136" s="63" t="str"/>
      <x:c r="F136" s="63" t="str">
        <x:v>Not assessed</x:v>
      </x:c>
      <x:c r="G136" s="63" t="str">
        <x:v>Row association and similar identifiers</x:v>
      </x:c>
      <x:c r="H136" s="63" t="str">
        <x:v>FinanceHub Approver</x:v>
      </x:c>
      <x:c r="I136" s="63" t="str">
        <x:f>IF(E136="","Not run",IF(EXACT(E136,H136),"Match","Review"))</x:f>
        <x:v>Not run</x:v>
      </x:c>
      <x:c r="J136" s="63" t="str">
        <x:v>Not assessed</x:v>
      </x:c>
      <x:c r="K136" s="63" t="str">
        <x:v>Not reviewed</x:v>
      </x:c>
      <x:c r="L136" s="63" t="str"/>
      <x:c r="M136" s="63" t="str"/>
      <x:c r="N136" s="64" t="str">
        <x:f>IF(AND(I136="Match",K136="Human approved"),"Yes","No")</x:f>
        <x:v>No</x:v>
      </x:c>
    </x:row>
    <x:row r="137" ht="43" customHeight="1">
      <x:c r="A137" s="62" t="str">
        <x:v>S09-05</x:v>
      </x:c>
      <x:c r="B137" s="63" t="str">
        <x:v>09_Project_Nova_Table_Photo.jpg</x:v>
      </x:c>
      <x:c r="C137" s="63" t="str">
        <x:v>AR-2048 row</x:v>
      </x:c>
      <x:c r="D137" s="63" t="str">
        <x:v>Environment</x:v>
      </x:c>
      <x:c r="E137" s="63" t="str"/>
      <x:c r="F137" s="63" t="str">
        <x:v>Not assessed</x:v>
      </x:c>
      <x:c r="G137" s="63" t="str">
        <x:v>Row association and similar identifiers</x:v>
      </x:c>
      <x:c r="H137" s="63" t="str">
        <x:v>Not confirmed</x:v>
      </x:c>
      <x:c r="I137" s="63" t="str">
        <x:f>IF(E137="","Not run",IF(EXACT(E137,H137),"Match","Review"))</x:f>
        <x:v>Not run</x:v>
      </x:c>
      <x:c r="J137" s="63" t="str">
        <x:v>Not assessed</x:v>
      </x:c>
      <x:c r="K137" s="63" t="str">
        <x:v>Not reviewed</x:v>
      </x:c>
      <x:c r="L137" s="63" t="str"/>
      <x:c r="M137" s="63" t="str"/>
      <x:c r="N137" s="64" t="str">
        <x:f>IF(AND(I137="Match",K137="Human approved"),"Yes","No")</x:f>
        <x:v>No</x:v>
      </x:c>
    </x:row>
    <x:row r="138" ht="43" customHeight="1">
      <x:c r="A138" s="62" t="str">
        <x:v>S09-06</x:v>
      </x:c>
      <x:c r="B138" s="63" t="str">
        <x:v>09_Project_Nova_Table_Photo.jpg</x:v>
      </x:c>
      <x:c r="C138" s="63" t="str">
        <x:v>AR-2048 row</x:v>
      </x:c>
      <x:c r="D138" s="63" t="str">
        <x:v>Effective date</x:v>
      </x:c>
      <x:c r="E138" s="63" t="str"/>
      <x:c r="F138" s="63" t="str">
        <x:v>Not assessed</x:v>
      </x:c>
      <x:c r="G138" s="63" t="str">
        <x:v>Row association and similar identifiers</x:v>
      </x:c>
      <x:c r="H138" s="63" t="str">
        <x:v>Not confirmed</x:v>
      </x:c>
      <x:c r="I138" s="63" t="str">
        <x:f>IF(E138="","Not run",IF(EXACT(E138,H138),"Match","Review"))</x:f>
        <x:v>Not run</x:v>
      </x:c>
      <x:c r="J138" s="63" t="str">
        <x:v>Not assessed</x:v>
      </x:c>
      <x:c r="K138" s="63" t="str">
        <x:v>Not reviewed</x:v>
      </x:c>
      <x:c r="L138" s="63" t="str"/>
      <x:c r="M138" s="63" t="str"/>
      <x:c r="N138" s="64" t="str">
        <x:f>IF(AND(I138="Match",K138="Human approved"),"Yes","No")</x:f>
        <x:v>No</x:v>
      </x:c>
    </x:row>
    <x:row r="139" ht="43" customHeight="1">
      <x:c r="A139" s="62" t="str">
        <x:v>S09-07</x:v>
      </x:c>
      <x:c r="B139" s="63" t="str">
        <x:v>09_Project_Nova_Table_Photo.jpg</x:v>
      </x:c>
      <x:c r="C139" s="63" t="str">
        <x:v>AR-2048 row</x:v>
      </x:c>
      <x:c r="D139" s="63" t="str">
        <x:v>End date</x:v>
      </x:c>
      <x:c r="E139" s="63" t="str"/>
      <x:c r="F139" s="63" t="str">
        <x:v>Not assessed</x:v>
      </x:c>
      <x:c r="G139" s="63" t="str">
        <x:v>Row association and similar identifiers</x:v>
      </x:c>
      <x:c r="H139" s="63" t="str">
        <x:v>2026-12-31</x:v>
      </x:c>
      <x:c r="I139" s="63" t="str">
        <x:f>IF(E139="","Not run",IF(EXACT(E139,H139),"Match","Review"))</x:f>
        <x:v>Not run</x:v>
      </x:c>
      <x:c r="J139" s="63" t="str">
        <x:v>Not assessed</x:v>
      </x:c>
      <x:c r="K139" s="63" t="str">
        <x:v>Not reviewed</x:v>
      </x:c>
      <x:c r="L139" s="63" t="str"/>
      <x:c r="M139" s="63" t="str"/>
      <x:c r="N139" s="64" t="str">
        <x:f>IF(AND(I139="Match",K139="Human approved"),"Yes","No")</x:f>
        <x:v>No</x:v>
      </x:c>
    </x:row>
    <x:row r="140" ht="43" customHeight="1">
      <x:c r="A140" s="62" t="str">
        <x:v>S09-08</x:v>
      </x:c>
      <x:c r="B140" s="63" t="str">
        <x:v>09_Project_Nova_Table_Photo.jpg</x:v>
      </x:c>
      <x:c r="C140" s="63" t="str">
        <x:v>AR-2048 row</x:v>
      </x:c>
      <x:c r="D140" s="63" t="str">
        <x:v>Cost centre</x:v>
      </x:c>
      <x:c r="E140" s="63" t="str"/>
      <x:c r="F140" s="63" t="str">
        <x:v>Not assessed</x:v>
      </x:c>
      <x:c r="G140" s="63" t="str">
        <x:v>Row association and similar identifiers</x:v>
      </x:c>
      <x:c r="H140" s="63" t="str">
        <x:v>CC-4710</x:v>
      </x:c>
      <x:c r="I140" s="63" t="str">
        <x:f>IF(E140="","Not run",IF(EXACT(E140,H140),"Match","Review"))</x:f>
        <x:v>Not run</x:v>
      </x:c>
      <x:c r="J140" s="63" t="str">
        <x:v>Not assessed</x:v>
      </x:c>
      <x:c r="K140" s="63" t="str">
        <x:v>Not reviewed</x:v>
      </x:c>
      <x:c r="L140" s="63" t="str"/>
      <x:c r="M140" s="63" t="str"/>
      <x:c r="N140" s="64" t="str">
        <x:f>IF(AND(I140="Match",K140="Human approved"),"Yes","No")</x:f>
        <x:v>No</x:v>
      </x:c>
    </x:row>
    <x:row r="141" ht="43" customHeight="1">
      <x:c r="A141" s="62" t="str">
        <x:v>S09-09</x:v>
      </x:c>
      <x:c r="B141" s="63" t="str">
        <x:v>09_Project_Nova_Table_Photo.jpg</x:v>
      </x:c>
      <x:c r="C141" s="63" t="str">
        <x:v>AR-2048 row</x:v>
      </x:c>
      <x:c r="D141" s="63" t="str">
        <x:v>Licence cost</x:v>
      </x:c>
      <x:c r="E141" s="63" t="str"/>
      <x:c r="F141" s="63" t="str">
        <x:v>Not assessed</x:v>
      </x:c>
      <x:c r="G141" s="63" t="str">
        <x:v>Row association and similar identifiers</x:v>
      </x:c>
      <x:c r="H141" s="63" t="str">
        <x:v>Not confirmed</x:v>
      </x:c>
      <x:c r="I141" s="63" t="str">
        <x:f>IF(E141="","Not run",IF(EXACT(E141,H141),"Match","Review"))</x:f>
        <x:v>Not run</x:v>
      </x:c>
      <x:c r="J141" s="63" t="str">
        <x:v>Not assessed</x:v>
      </x:c>
      <x:c r="K141" s="63" t="str">
        <x:v>Not reviewed</x:v>
      </x:c>
      <x:c r="L141" s="63" t="str"/>
      <x:c r="M141" s="63" t="str"/>
      <x:c r="N141" s="64" t="str">
        <x:f>IF(AND(I141="Match",K141="Human approved"),"Yes","No")</x:f>
        <x:v>No</x:v>
      </x:c>
    </x:row>
    <x:row r="142" ht="43" customHeight="1">
      <x:c r="A142" s="62" t="str">
        <x:v>S09-10</x:v>
      </x:c>
      <x:c r="B142" s="63" t="str">
        <x:v>09_Project_Nova_Table_Photo.jpg</x:v>
      </x:c>
      <x:c r="C142" s="63" t="str">
        <x:v>AR-2048 row</x:v>
      </x:c>
      <x:c r="D142" s="63" t="str">
        <x:v>Approver</x:v>
      </x:c>
      <x:c r="E142" s="63" t="str"/>
      <x:c r="F142" s="63" t="str">
        <x:v>Not assessed</x:v>
      </x:c>
      <x:c r="G142" s="63" t="str">
        <x:v>Row association and similar identifiers</x:v>
      </x:c>
      <x:c r="H142" s="63" t="str">
        <x:v>Not confirmed</x:v>
      </x:c>
      <x:c r="I142" s="63" t="str">
        <x:f>IF(E142="","Not run",IF(EXACT(E142,H142),"Match","Review"))</x:f>
        <x:v>Not run</x:v>
      </x:c>
      <x:c r="J142" s="63" t="str">
        <x:v>Not assessed</x:v>
      </x:c>
      <x:c r="K142" s="63" t="str">
        <x:v>Not reviewed</x:v>
      </x:c>
      <x:c r="L142" s="63" t="str"/>
      <x:c r="M142" s="63" t="str"/>
      <x:c r="N142" s="64" t="str">
        <x:f>IF(AND(I142="Match",K142="Human approved"),"Yes","No")</x:f>
        <x:v>No</x:v>
      </x:c>
    </x:row>
    <x:row r="143" ht="43" customHeight="1">
      <x:c r="A143" s="62" t="str">
        <x:v>S09-11</x:v>
      </x:c>
      <x:c r="B143" s="63" t="str">
        <x:v>09_Project_Nova_Table_Photo.jpg</x:v>
      </x:c>
      <x:c r="C143" s="63" t="str">
        <x:v>AR-2048 row</x:v>
      </x:c>
      <x:c r="D143" s="63" t="str">
        <x:v>Status</x:v>
      </x:c>
      <x:c r="E143" s="63" t="str"/>
      <x:c r="F143" s="63" t="str">
        <x:v>Not assessed</x:v>
      </x:c>
      <x:c r="G143" s="63" t="str">
        <x:v>Row association and similar identifiers</x:v>
      </x:c>
      <x:c r="H143" s="63" t="str">
        <x:v>Approved with conditions</x:v>
      </x:c>
      <x:c r="I143" s="63" t="str">
        <x:f>IF(E143="","Not run",IF(EXACT(E143,H143),"Match","Review"))</x:f>
        <x:v>Not run</x:v>
      </x:c>
      <x:c r="J143" s="63" t="str">
        <x:v>Not assessed</x:v>
      </x:c>
      <x:c r="K143" s="63" t="str">
        <x:v>Not reviewed</x:v>
      </x:c>
      <x:c r="L143" s="63" t="str"/>
      <x:c r="M143" s="63" t="str"/>
      <x:c r="N143" s="64" t="str">
        <x:f>IF(AND(I143="Match",K143="Human approved"),"Yes","No")</x:f>
        <x:v>No</x:v>
      </x:c>
    </x:row>
    <x:row r="144" ht="43" customHeight="1">
      <x:c r="A144" s="62" t="str">
        <x:v>S09-12</x:v>
      </x:c>
      <x:c r="B144" s="63" t="str">
        <x:v>09_Project_Nova_Table_Photo.jpg</x:v>
      </x:c>
      <x:c r="C144" s="63" t="str">
        <x:v>AR-2048 row</x:v>
      </x:c>
      <x:c r="D144" s="63" t="str">
        <x:v>Manager approval</x:v>
      </x:c>
      <x:c r="E144" s="63" t="str"/>
      <x:c r="F144" s="63" t="str">
        <x:v>Not assessed</x:v>
      </x:c>
      <x:c r="G144" s="63" t="str">
        <x:v>Row association and similar identifiers</x:v>
      </x:c>
      <x:c r="H144" s="63" t="str">
        <x:v>Not confirmed</x:v>
      </x:c>
      <x:c r="I144" s="63" t="str">
        <x:f>IF(E144="","Not run",IF(EXACT(E144,H144),"Match","Review"))</x:f>
        <x:v>Not run</x:v>
      </x:c>
      <x:c r="J144" s="63" t="str">
        <x:v>Not assessed</x:v>
      </x:c>
      <x:c r="K144" s="63" t="str">
        <x:v>Not reviewed</x:v>
      </x:c>
      <x:c r="L144" s="63" t="str"/>
      <x:c r="M144" s="63" t="str"/>
      <x:c r="N144" s="64" t="str">
        <x:f>IF(AND(I144="Match",K144="Human approved"),"Yes","No")</x:f>
        <x:v>No</x:v>
      </x:c>
    </x:row>
    <x:row r="145" ht="43" customHeight="1">
      <x:c r="A145" s="62" t="str">
        <x:v>S09-13</x:v>
      </x:c>
      <x:c r="B145" s="63" t="str">
        <x:v>09_Project_Nova_Table_Photo.jpg</x:v>
      </x:c>
      <x:c r="C145" s="63" t="str">
        <x:v>AR-2048 row</x:v>
      </x:c>
      <x:c r="D145" s="63" t="str">
        <x:v>Security approval</x:v>
      </x:c>
      <x:c r="E145" s="63" t="str"/>
      <x:c r="F145" s="63" t="str">
        <x:v>Not assessed</x:v>
      </x:c>
      <x:c r="G145" s="63" t="str">
        <x:v>Row association and similar identifiers</x:v>
      </x:c>
      <x:c r="H145" s="63" t="str">
        <x:v>Not confirmed</x:v>
      </x:c>
      <x:c r="I145" s="63" t="str">
        <x:f>IF(E145="","Not run",IF(EXACT(E145,H145),"Match","Review"))</x:f>
        <x:v>Not run</x:v>
      </x:c>
      <x:c r="J145" s="63" t="str">
        <x:v>Not assessed</x:v>
      </x:c>
      <x:c r="K145" s="63" t="str">
        <x:v>Not reviewed</x:v>
      </x:c>
      <x:c r="L145" s="63" t="str"/>
      <x:c r="M145" s="63" t="str"/>
      <x:c r="N145" s="64" t="str">
        <x:f>IF(AND(I145="Match",K145="Human approved"),"Yes","No")</x:f>
        <x:v>No</x:v>
      </x:c>
    </x:row>
    <x:row r="146" ht="43" customHeight="1">
      <x:c r="A146" s="62" t="str">
        <x:v>S09-14</x:v>
      </x:c>
      <x:c r="B146" s="63" t="str">
        <x:v>09_Project_Nova_Table_Photo.jpg</x:v>
      </x:c>
      <x:c r="C146" s="63" t="str">
        <x:v>AR-2048 row</x:v>
      </x:c>
      <x:c r="D146" s="63" t="str">
        <x:v>MFA required</x:v>
      </x:c>
      <x:c r="E146" s="63" t="str"/>
      <x:c r="F146" s="63" t="str">
        <x:v>Not assessed</x:v>
      </x:c>
      <x:c r="G146" s="63" t="str">
        <x:v>Row association and similar identifiers</x:v>
      </x:c>
      <x:c r="H146" s="63" t="str">
        <x:v>Not confirmed</x:v>
      </x:c>
      <x:c r="I146" s="63" t="str">
        <x:f>IF(E146="","Not run",IF(EXACT(E146,H146),"Match","Review"))</x:f>
        <x:v>Not run</x:v>
      </x:c>
      <x:c r="J146" s="63" t="str">
        <x:v>Not assessed</x:v>
      </x:c>
      <x:c r="K146" s="63" t="str">
        <x:v>Not reviewed</x:v>
      </x:c>
      <x:c r="L146" s="63" t="str"/>
      <x:c r="M146" s="63" t="str"/>
      <x:c r="N146" s="64" t="str">
        <x:f>IF(AND(I146="Match",K146="Human approved"),"Yes","No")</x:f>
        <x:v>No</x:v>
      </x:c>
    </x:row>
    <x:row r="147" ht="43" customHeight="1">
      <x:c r="A147" s="62" t="str">
        <x:v>S09-15</x:v>
      </x:c>
      <x:c r="B147" s="63" t="str">
        <x:v>09_Project_Nova_Table_Photo.jpg</x:v>
      </x:c>
      <x:c r="C147" s="63" t="str">
        <x:v>AR-2048 row</x:v>
      </x:c>
      <x:c r="D147" s="63" t="str">
        <x:v>Privileged access</x:v>
      </x:c>
      <x:c r="E147" s="63" t="str"/>
      <x:c r="F147" s="63" t="str">
        <x:v>Not assessed</x:v>
      </x:c>
      <x:c r="G147" s="63" t="str">
        <x:v>Row association and similar identifiers</x:v>
      </x:c>
      <x:c r="H147" s="63" t="str">
        <x:v>Not confirmed</x:v>
      </x:c>
      <x:c r="I147" s="63" t="str">
        <x:f>IF(E147="","Not run",IF(EXACT(E147,H147),"Match","Review"))</x:f>
        <x:v>Not run</x:v>
      </x:c>
      <x:c r="J147" s="63" t="str">
        <x:v>Not assessed</x:v>
      </x:c>
      <x:c r="K147" s="63" t="str">
        <x:v>Not reviewed</x:v>
      </x:c>
      <x:c r="L147" s="63" t="str"/>
      <x:c r="M147" s="63" t="str"/>
      <x:c r="N147" s="64" t="str">
        <x:f>IF(AND(I147="Match",K147="Human approved"),"Yes","No")</x:f>
        <x:v>No</x:v>
      </x:c>
    </x:row>
    <x:row r="148" ht="43" customHeight="1">
      <x:c r="A148" s="62" t="str">
        <x:v>S09-16</x:v>
      </x:c>
      <x:c r="B148" s="63" t="str">
        <x:v>09_Project_Nova_Table_Photo.jpg</x:v>
      </x:c>
      <x:c r="C148" s="63" t="str">
        <x:v>AR-2048 row</x:v>
      </x:c>
      <x:c r="D148" s="63" t="str">
        <x:v>Handwritten proposed end date</x:v>
      </x:c>
      <x:c r="E148" s="63" t="str"/>
      <x:c r="F148" s="63" t="str">
        <x:v>Not assessed</x:v>
      </x:c>
      <x:c r="G148" s="63" t="str">
        <x:v>Row association and similar identifiers</x:v>
      </x:c>
      <x:c r="H148" s="63" t="str">
        <x:v>Not confirmed</x:v>
      </x:c>
      <x:c r="I148" s="63" t="str">
        <x:f>IF(E148="","Not run",IF(EXACT(E148,H148),"Match","Review"))</x:f>
        <x:v>Not run</x:v>
      </x:c>
      <x:c r="J148" s="63" t="str">
        <x:v>Not assessed</x:v>
      </x:c>
      <x:c r="K148" s="63" t="str">
        <x:v>Not reviewed</x:v>
      </x:c>
      <x:c r="L148" s="63" t="str"/>
      <x:c r="M148" s="63" t="str"/>
      <x:c r="N148" s="64" t="str">
        <x:f>IF(AND(I148="Match",K148="Human approved"),"Yes","No")</x:f>
        <x:v>No</x:v>
      </x:c>
    </x:row>
    <x:row r="149" ht="43" customHeight="1">
      <x:c r="A149" s="62" t="str">
        <x:v>S10-01</x:v>
      </x:c>
      <x:c r="B149" s="63" t="str">
        <x:v>10_Project_Nova_Improved_Replacement.png</x:v>
      </x:c>
      <x:c r="C149" s="63" t="str">
        <x:v>Full page</x:v>
      </x:c>
      <x:c r="D149" s="63" t="str">
        <x:v>Request ID</x:v>
      </x:c>
      <x:c r="E149" s="63" t="str"/>
      <x:c r="F149" s="63" t="str">
        <x:v>Not assessed</x:v>
      </x:c>
      <x:c r="G149" s="63" t="str">
        <x:v>Controlled replacement for S03</x:v>
      </x:c>
      <x:c r="H149" s="63" t="str">
        <x:v>AR-2048</x:v>
      </x:c>
      <x:c r="I149" s="63" t="str">
        <x:f>IF(E149="","Not run",IF(EXACT(E149,H149),"Match","Review"))</x:f>
        <x:v>Not run</x:v>
      </x:c>
      <x:c r="J149" s="63" t="str">
        <x:v>Not assessed</x:v>
      </x:c>
      <x:c r="K149" s="63" t="str">
        <x:v>Not reviewed</x:v>
      </x:c>
      <x:c r="L149" s="63" t="str"/>
      <x:c r="M149" s="63" t="str"/>
      <x:c r="N149" s="64" t="str">
        <x:f>IF(AND(I149="Match",K149="Human approved"),"Yes","No")</x:f>
        <x:v>No</x:v>
      </x:c>
    </x:row>
    <x:row r="150" ht="43" customHeight="1">
      <x:c r="A150" s="62" t="str">
        <x:v>S10-02</x:v>
      </x:c>
      <x:c r="B150" s="63" t="str">
        <x:v>10_Project_Nova_Improved_Replacement.png</x:v>
      </x:c>
      <x:c r="C150" s="63" t="str">
        <x:v>Full page</x:v>
      </x:c>
      <x:c r="D150" s="63" t="str">
        <x:v>Requester</x:v>
      </x:c>
      <x:c r="E150" s="63" t="str"/>
      <x:c r="F150" s="63" t="str">
        <x:v>Not assessed</x:v>
      </x:c>
      <x:c r="G150" s="63" t="str">
        <x:v>Controlled replacement for S03</x:v>
      </x:c>
      <x:c r="H150" s="63" t="str">
        <x:v>Mika Olsen</x:v>
      </x:c>
      <x:c r="I150" s="63" t="str">
        <x:f>IF(E150="","Not run",IF(EXACT(E150,H150),"Match","Review"))</x:f>
        <x:v>Not run</x:v>
      </x:c>
      <x:c r="J150" s="63" t="str">
        <x:v>Not assessed</x:v>
      </x:c>
      <x:c r="K150" s="63" t="str">
        <x:v>Not reviewed</x:v>
      </x:c>
      <x:c r="L150" s="63" t="str"/>
      <x:c r="M150" s="63" t="str"/>
      <x:c r="N150" s="64" t="str">
        <x:f>IF(AND(I150="Match",K150="Human approved"),"Yes","No")</x:f>
        <x:v>No</x:v>
      </x:c>
    </x:row>
    <x:row r="151" ht="43" customHeight="1">
      <x:c r="A151" s="62" t="str">
        <x:v>S10-03</x:v>
      </x:c>
      <x:c r="B151" s="63" t="str">
        <x:v>10_Project_Nova_Improved_Replacement.png</x:v>
      </x:c>
      <x:c r="C151" s="63" t="str">
        <x:v>Full page</x:v>
      </x:c>
      <x:c r="D151" s="63" t="str">
        <x:v>Business unit</x:v>
      </x:c>
      <x:c r="E151" s="63" t="str"/>
      <x:c r="F151" s="63" t="str">
        <x:v>Not assessed</x:v>
      </x:c>
      <x:c r="G151" s="63" t="str">
        <x:v>Controlled replacement for S03</x:v>
      </x:c>
      <x:c r="H151" s="63" t="str">
        <x:v>Finance Operations</x:v>
      </x:c>
      <x:c r="I151" s="63" t="str">
        <x:f>IF(E151="","Not run",IF(EXACT(E151,H151),"Match","Review"))</x:f>
        <x:v>Not run</x:v>
      </x:c>
      <x:c r="J151" s="63" t="str">
        <x:v>Not assessed</x:v>
      </x:c>
      <x:c r="K151" s="63" t="str">
        <x:v>Not reviewed</x:v>
      </x:c>
      <x:c r="L151" s="63" t="str"/>
      <x:c r="M151" s="63" t="str"/>
      <x:c r="N151" s="64" t="str">
        <x:f>IF(AND(I151="Match",K151="Human approved"),"Yes","No")</x:f>
        <x:v>No</x:v>
      </x:c>
    </x:row>
    <x:row r="152" ht="43" customHeight="1">
      <x:c r="A152" s="62" t="str">
        <x:v>S10-04</x:v>
      </x:c>
      <x:c r="B152" s="63" t="str">
        <x:v>10_Project_Nova_Improved_Replacement.png</x:v>
      </x:c>
      <x:c r="C152" s="63" t="str">
        <x:v>Full page</x:v>
      </x:c>
      <x:c r="D152" s="63" t="str">
        <x:v>Access type</x:v>
      </x:c>
      <x:c r="E152" s="63" t="str"/>
      <x:c r="F152" s="63" t="str">
        <x:v>Not assessed</x:v>
      </x:c>
      <x:c r="G152" s="63" t="str">
        <x:v>Controlled replacement for S03</x:v>
      </x:c>
      <x:c r="H152" s="63" t="str">
        <x:v>FinanceHub Approver</x:v>
      </x:c>
      <x:c r="I152" s="63" t="str">
        <x:f>IF(E152="","Not run",IF(EXACT(E152,H152),"Match","Review"))</x:f>
        <x:v>Not run</x:v>
      </x:c>
      <x:c r="J152" s="63" t="str">
        <x:v>Not assessed</x:v>
      </x:c>
      <x:c r="K152" s="63" t="str">
        <x:v>Not reviewed</x:v>
      </x:c>
      <x:c r="L152" s="63" t="str"/>
      <x:c r="M152" s="63" t="str"/>
      <x:c r="N152" s="64" t="str">
        <x:f>IF(AND(I152="Match",K152="Human approved"),"Yes","No")</x:f>
        <x:v>No</x:v>
      </x:c>
    </x:row>
    <x:row r="153" ht="43" customHeight="1">
      <x:c r="A153" s="62" t="str">
        <x:v>S10-05</x:v>
      </x:c>
      <x:c r="B153" s="63" t="str">
        <x:v>10_Project_Nova_Improved_Replacement.png</x:v>
      </x:c>
      <x:c r="C153" s="63" t="str">
        <x:v>Full page</x:v>
      </x:c>
      <x:c r="D153" s="63" t="str">
        <x:v>Environment</x:v>
      </x:c>
      <x:c r="E153" s="63" t="str"/>
      <x:c r="F153" s="63" t="str">
        <x:v>Not assessed</x:v>
      </x:c>
      <x:c r="G153" s="63" t="str">
        <x:v>Controlled replacement for S03</x:v>
      </x:c>
      <x:c r="H153" s="63" t="str">
        <x:v>Production</x:v>
      </x:c>
      <x:c r="I153" s="63" t="str">
        <x:f>IF(E153="","Not run",IF(EXACT(E153,H153),"Match","Review"))</x:f>
        <x:v>Not run</x:v>
      </x:c>
      <x:c r="J153" s="63" t="str">
        <x:v>Not assessed</x:v>
      </x:c>
      <x:c r="K153" s="63" t="str">
        <x:v>Not reviewed</x:v>
      </x:c>
      <x:c r="L153" s="63" t="str"/>
      <x:c r="M153" s="63" t="str"/>
      <x:c r="N153" s="64" t="str">
        <x:f>IF(AND(I153="Match",K153="Human approved"),"Yes","No")</x:f>
        <x:v>No</x:v>
      </x:c>
    </x:row>
    <x:row r="154" ht="43" customHeight="1">
      <x:c r="A154" s="62" t="str">
        <x:v>S10-06</x:v>
      </x:c>
      <x:c r="B154" s="63" t="str">
        <x:v>10_Project_Nova_Improved_Replacement.png</x:v>
      </x:c>
      <x:c r="C154" s="63" t="str">
        <x:v>Full page</x:v>
      </x:c>
      <x:c r="D154" s="63" t="str">
        <x:v>Effective date</x:v>
      </x:c>
      <x:c r="E154" s="63" t="str"/>
      <x:c r="F154" s="63" t="str">
        <x:v>Not assessed</x:v>
      </x:c>
      <x:c r="G154" s="63" t="str">
        <x:v>Controlled replacement for S03</x:v>
      </x:c>
      <x:c r="H154" s="63" t="str">
        <x:v>2026-09-15</x:v>
      </x:c>
      <x:c r="I154" s="63" t="str">
        <x:f>IF(E154="","Not run",IF(EXACT(E154,H154),"Match","Review"))</x:f>
        <x:v>Not run</x:v>
      </x:c>
      <x:c r="J154" s="63" t="str">
        <x:v>Not assessed</x:v>
      </x:c>
      <x:c r="K154" s="63" t="str">
        <x:v>Not reviewed</x:v>
      </x:c>
      <x:c r="L154" s="63" t="str"/>
      <x:c r="M154" s="63" t="str"/>
      <x:c r="N154" s="64" t="str">
        <x:f>IF(AND(I154="Match",K154="Human approved"),"Yes","No")</x:f>
        <x:v>No</x:v>
      </x:c>
    </x:row>
    <x:row r="155" ht="43" customHeight="1">
      <x:c r="A155" s="62" t="str">
        <x:v>S10-07</x:v>
      </x:c>
      <x:c r="B155" s="63" t="str">
        <x:v>10_Project_Nova_Improved_Replacement.png</x:v>
      </x:c>
      <x:c r="C155" s="63" t="str">
        <x:v>Full page</x:v>
      </x:c>
      <x:c r="D155" s="63" t="str">
        <x:v>End date</x:v>
      </x:c>
      <x:c r="E155" s="63" t="str"/>
      <x:c r="F155" s="63" t="str">
        <x:v>Not assessed</x:v>
      </x:c>
      <x:c r="G155" s="63" t="str">
        <x:v>Controlled replacement for S03</x:v>
      </x:c>
      <x:c r="H155" s="63" t="str">
        <x:v>2026-12-31</x:v>
      </x:c>
      <x:c r="I155" s="63" t="str">
        <x:f>IF(E155="","Not run",IF(EXACT(E155,H155),"Match","Review"))</x:f>
        <x:v>Not run</x:v>
      </x:c>
      <x:c r="J155" s="63" t="str">
        <x:v>Not assessed</x:v>
      </x:c>
      <x:c r="K155" s="63" t="str">
        <x:v>Not reviewed</x:v>
      </x:c>
      <x:c r="L155" s="63" t="str"/>
      <x:c r="M155" s="63" t="str"/>
      <x:c r="N155" s="64" t="str">
        <x:f>IF(AND(I155="Match",K155="Human approved"),"Yes","No")</x:f>
        <x:v>No</x:v>
      </x:c>
    </x:row>
    <x:row r="156" ht="43" customHeight="1">
      <x:c r="A156" s="62" t="str">
        <x:v>S10-08</x:v>
      </x:c>
      <x:c r="B156" s="63" t="str">
        <x:v>10_Project_Nova_Improved_Replacement.png</x:v>
      </x:c>
      <x:c r="C156" s="63" t="str">
        <x:v>Full page</x:v>
      </x:c>
      <x:c r="D156" s="63" t="str">
        <x:v>Cost centre</x:v>
      </x:c>
      <x:c r="E156" s="63" t="str"/>
      <x:c r="F156" s="63" t="str">
        <x:v>Not assessed</x:v>
      </x:c>
      <x:c r="G156" s="63" t="str">
        <x:v>Controlled replacement for S03</x:v>
      </x:c>
      <x:c r="H156" s="63" t="str">
        <x:v>CC-4710</x:v>
      </x:c>
      <x:c r="I156" s="63" t="str">
        <x:f>IF(E156="","Not run",IF(EXACT(E156,H156),"Match","Review"))</x:f>
        <x:v>Not run</x:v>
      </x:c>
      <x:c r="J156" s="63" t="str">
        <x:v>Not assessed</x:v>
      </x:c>
      <x:c r="K156" s="63" t="str">
        <x:v>Not reviewed</x:v>
      </x:c>
      <x:c r="L156" s="63" t="str"/>
      <x:c r="M156" s="63" t="str"/>
      <x:c r="N156" s="64" t="str">
        <x:f>IF(AND(I156="Match",K156="Human approved"),"Yes","No")</x:f>
        <x:v>No</x:v>
      </x:c>
    </x:row>
    <x:row r="157" ht="43" customHeight="1">
      <x:c r="A157" s="62" t="str">
        <x:v>S10-09</x:v>
      </x:c>
      <x:c r="B157" s="63" t="str">
        <x:v>10_Project_Nova_Improved_Replacement.png</x:v>
      </x:c>
      <x:c r="C157" s="63" t="str">
        <x:v>Full page</x:v>
      </x:c>
      <x:c r="D157" s="63" t="str">
        <x:v>Licence cost</x:v>
      </x:c>
      <x:c r="E157" s="63" t="str"/>
      <x:c r="F157" s="63" t="str">
        <x:v>Not assessed</x:v>
      </x:c>
      <x:c r="G157" s="63" t="str">
        <x:v>Controlled replacement for S03</x:v>
      </x:c>
      <x:c r="H157" s="63" t="str">
        <x:v>EUR 1,250.00</x:v>
      </x:c>
      <x:c r="I157" s="63" t="str">
        <x:f>IF(E157="","Not run",IF(EXACT(E157,H157),"Match","Review"))</x:f>
        <x:v>Not run</x:v>
      </x:c>
      <x:c r="J157" s="63" t="str">
        <x:v>Not assessed</x:v>
      </x:c>
      <x:c r="K157" s="63" t="str">
        <x:v>Not reviewed</x:v>
      </x:c>
      <x:c r="L157" s="63" t="str"/>
      <x:c r="M157" s="63" t="str"/>
      <x:c r="N157" s="64" t="str">
        <x:f>IF(AND(I157="Match",K157="Human approved"),"Yes","No")</x:f>
        <x:v>No</x:v>
      </x:c>
    </x:row>
    <x:row r="158" ht="43" customHeight="1">
      <x:c r="A158" s="62" t="str">
        <x:v>S10-10</x:v>
      </x:c>
      <x:c r="B158" s="63" t="str">
        <x:v>10_Project_Nova_Improved_Replacement.png</x:v>
      </x:c>
      <x:c r="C158" s="63" t="str">
        <x:v>Full page</x:v>
      </x:c>
      <x:c r="D158" s="63" t="str">
        <x:v>Approver</x:v>
      </x:c>
      <x:c r="E158" s="63" t="str"/>
      <x:c r="F158" s="63" t="str">
        <x:v>Not assessed</x:v>
      </x:c>
      <x:c r="G158" s="63" t="str">
        <x:v>Controlled replacement for S03</x:v>
      </x:c>
      <x:c r="H158" s="63" t="str">
        <x:v>Priya Nair</x:v>
      </x:c>
      <x:c r="I158" s="63" t="str">
        <x:f>IF(E158="","Not run",IF(EXACT(E158,H158),"Match","Review"))</x:f>
        <x:v>Not run</x:v>
      </x:c>
      <x:c r="J158" s="63" t="str">
        <x:v>Not assessed</x:v>
      </x:c>
      <x:c r="K158" s="63" t="str">
        <x:v>Not reviewed</x:v>
      </x:c>
      <x:c r="L158" s="63" t="str"/>
      <x:c r="M158" s="63" t="str"/>
      <x:c r="N158" s="64" t="str">
        <x:f>IF(AND(I158="Match",K158="Human approved"),"Yes","No")</x:f>
        <x:v>No</x:v>
      </x:c>
    </x:row>
    <x:row r="159" ht="43" customHeight="1">
      <x:c r="A159" s="62" t="str">
        <x:v>S10-11</x:v>
      </x:c>
      <x:c r="B159" s="63" t="str">
        <x:v>10_Project_Nova_Improved_Replacement.png</x:v>
      </x:c>
      <x:c r="C159" s="63" t="str">
        <x:v>Full page</x:v>
      </x:c>
      <x:c r="D159" s="63" t="str">
        <x:v>Status</x:v>
      </x:c>
      <x:c r="E159" s="63" t="str"/>
      <x:c r="F159" s="63" t="str">
        <x:v>Not assessed</x:v>
      </x:c>
      <x:c r="G159" s="63" t="str">
        <x:v>Controlled replacement for S03</x:v>
      </x:c>
      <x:c r="H159" s="63" t="str">
        <x:v>Approved with conditions</x:v>
      </x:c>
      <x:c r="I159" s="63" t="str">
        <x:f>IF(E159="","Not run",IF(EXACT(E159,H159),"Match","Review"))</x:f>
        <x:v>Not run</x:v>
      </x:c>
      <x:c r="J159" s="63" t="str">
        <x:v>Not assessed</x:v>
      </x:c>
      <x:c r="K159" s="63" t="str">
        <x:v>Not reviewed</x:v>
      </x:c>
      <x:c r="L159" s="63" t="str"/>
      <x:c r="M159" s="63" t="str"/>
      <x:c r="N159" s="64" t="str">
        <x:f>IF(AND(I159="Match",K159="Human approved"),"Yes","No")</x:f>
        <x:v>No</x:v>
      </x:c>
    </x:row>
    <x:row r="160" ht="43" customHeight="1">
      <x:c r="A160" s="62" t="str">
        <x:v>S10-12</x:v>
      </x:c>
      <x:c r="B160" s="63" t="str">
        <x:v>10_Project_Nova_Improved_Replacement.png</x:v>
      </x:c>
      <x:c r="C160" s="63" t="str">
        <x:v>Full page</x:v>
      </x:c>
      <x:c r="D160" s="63" t="str">
        <x:v>Manager approval</x:v>
      </x:c>
      <x:c r="E160" s="63" t="str"/>
      <x:c r="F160" s="63" t="str">
        <x:v>Not assessed</x:v>
      </x:c>
      <x:c r="G160" s="63" t="str">
        <x:v>Controlled replacement for S03</x:v>
      </x:c>
      <x:c r="H160" s="63" t="str">
        <x:v>Yes</x:v>
      </x:c>
      <x:c r="I160" s="63" t="str">
        <x:f>IF(E160="","Not run",IF(EXACT(E160,H160),"Match","Review"))</x:f>
        <x:v>Not run</x:v>
      </x:c>
      <x:c r="J160" s="63" t="str">
        <x:v>Not assessed</x:v>
      </x:c>
      <x:c r="K160" s="63" t="str">
        <x:v>Not reviewed</x:v>
      </x:c>
      <x:c r="L160" s="63" t="str"/>
      <x:c r="M160" s="63" t="str"/>
      <x:c r="N160" s="64" t="str">
        <x:f>IF(AND(I160="Match",K160="Human approved"),"Yes","No")</x:f>
        <x:v>No</x:v>
      </x:c>
    </x:row>
    <x:row r="161" ht="43" customHeight="1">
      <x:c r="A161" s="62" t="str">
        <x:v>S10-13</x:v>
      </x:c>
      <x:c r="B161" s="63" t="str">
        <x:v>10_Project_Nova_Improved_Replacement.png</x:v>
      </x:c>
      <x:c r="C161" s="63" t="str">
        <x:v>Full page</x:v>
      </x:c>
      <x:c r="D161" s="63" t="str">
        <x:v>Security approval</x:v>
      </x:c>
      <x:c r="E161" s="63" t="str"/>
      <x:c r="F161" s="63" t="str">
        <x:v>Not assessed</x:v>
      </x:c>
      <x:c r="G161" s="63" t="str">
        <x:v>Controlled replacement for S03</x:v>
      </x:c>
      <x:c r="H161" s="63" t="str">
        <x:v>Yes</x:v>
      </x:c>
      <x:c r="I161" s="63" t="str">
        <x:f>IF(E161="","Not run",IF(EXACT(E161,H161),"Match","Review"))</x:f>
        <x:v>Not run</x:v>
      </x:c>
      <x:c r="J161" s="63" t="str">
        <x:v>Not assessed</x:v>
      </x:c>
      <x:c r="K161" s="63" t="str">
        <x:v>Not reviewed</x:v>
      </x:c>
      <x:c r="L161" s="63" t="str"/>
      <x:c r="M161" s="63" t="str"/>
      <x:c r="N161" s="64" t="str">
        <x:f>IF(AND(I161="Match",K161="Human approved"),"Yes","No")</x:f>
        <x:v>No</x:v>
      </x:c>
    </x:row>
    <x:row r="162" ht="43" customHeight="1">
      <x:c r="A162" s="62" t="str">
        <x:v>S10-14</x:v>
      </x:c>
      <x:c r="B162" s="63" t="str">
        <x:v>10_Project_Nova_Improved_Replacement.png</x:v>
      </x:c>
      <x:c r="C162" s="63" t="str">
        <x:v>Full page</x:v>
      </x:c>
      <x:c r="D162" s="63" t="str">
        <x:v>MFA required</x:v>
      </x:c>
      <x:c r="E162" s="63" t="str"/>
      <x:c r="F162" s="63" t="str">
        <x:v>Not assessed</x:v>
      </x:c>
      <x:c r="G162" s="63" t="str">
        <x:v>Controlled replacement for S03</x:v>
      </x:c>
      <x:c r="H162" s="63" t="str">
        <x:v>Yes</x:v>
      </x:c>
      <x:c r="I162" s="63" t="str">
        <x:f>IF(E162="","Not run",IF(EXACT(E162,H162),"Match","Review"))</x:f>
        <x:v>Not run</x:v>
      </x:c>
      <x:c r="J162" s="63" t="str">
        <x:v>Not assessed</x:v>
      </x:c>
      <x:c r="K162" s="63" t="str">
        <x:v>Not reviewed</x:v>
      </x:c>
      <x:c r="L162" s="63" t="str"/>
      <x:c r="M162" s="63" t="str"/>
      <x:c r="N162" s="64" t="str">
        <x:f>IF(AND(I162="Match",K162="Human approved"),"Yes","No")</x:f>
        <x:v>No</x:v>
      </x:c>
    </x:row>
    <x:row r="163" ht="43" customHeight="1">
      <x:c r="A163" s="62" t="str">
        <x:v>S10-15</x:v>
      </x:c>
      <x:c r="B163" s="63" t="str">
        <x:v>10_Project_Nova_Improved_Replacement.png</x:v>
      </x:c>
      <x:c r="C163" s="63" t="str">
        <x:v>Full page</x:v>
      </x:c>
      <x:c r="D163" s="63" t="str">
        <x:v>Privileged access</x:v>
      </x:c>
      <x:c r="E163" s="63" t="str"/>
      <x:c r="F163" s="63" t="str">
        <x:v>Not assessed</x:v>
      </x:c>
      <x:c r="G163" s="63" t="str">
        <x:v>Controlled replacement for S03</x:v>
      </x:c>
      <x:c r="H163" s="63" t="str">
        <x:v>Yes</x:v>
      </x:c>
      <x:c r="I163" s="63" t="str">
        <x:f>IF(E163="","Not run",IF(EXACT(E163,H163),"Match","Review"))</x:f>
        <x:v>Not run</x:v>
      </x:c>
      <x:c r="J163" s="63" t="str">
        <x:v>Not assessed</x:v>
      </x:c>
      <x:c r="K163" s="63" t="str">
        <x:v>Not reviewed</x:v>
      </x:c>
      <x:c r="L163" s="63" t="str"/>
      <x:c r="M163" s="63" t="str"/>
      <x:c r="N163" s="64" t="str">
        <x:f>IF(AND(I163="Match",K163="Human approved"),"Yes","No")</x:f>
        <x:v>No</x:v>
      </x:c>
    </x:row>
    <x:row r="164" ht="43" customHeight="1">
      <x:c r="A164" s="65" t="str">
        <x:v>S10-16</x:v>
      </x:c>
      <x:c r="B164" s="66" t="str">
        <x:v>10_Project_Nova_Improved_Replacement.png</x:v>
      </x:c>
      <x:c r="C164" s="66" t="str">
        <x:v>Full page</x:v>
      </x:c>
      <x:c r="D164" s="66" t="str">
        <x:v>Handwritten proposed end date</x:v>
      </x:c>
      <x:c r="E164" s="66" t="str"/>
      <x:c r="F164" s="66" t="str">
        <x:v>Not assessed</x:v>
      </x:c>
      <x:c r="G164" s="66" t="str">
        <x:v>Controlled replacement for S03</x:v>
      </x:c>
      <x:c r="H164" s="66" t="str">
        <x:v>Not confirmed</x:v>
      </x:c>
      <x:c r="I164" s="66" t="str">
        <x:f>IF(E164="","Not run",IF(EXACT(E164,H164),"Match","Review"))</x:f>
        <x:v>Not run</x:v>
      </x:c>
      <x:c r="J164" s="66" t="str">
        <x:v>Not assessed</x:v>
      </x:c>
      <x:c r="K164" s="66" t="str">
        <x:v>Not reviewed</x:v>
      </x:c>
      <x:c r="L164" s="66" t="str"/>
      <x:c r="M164" s="66" t="str"/>
      <x:c r="N164" s="67" t="str">
        <x:f>IF(AND(I164="Match",K164="Human approved"),"Yes","No")</x:f>
        <x:v>No</x:v>
      </x:c>
    </x:row>
  </x:sheetData>
  <x:mergeCells>
    <x:mergeCell ref="A1:N1"/>
    <x:mergeCell ref="A2:N2"/>
  </x:mergeCells>
  <x:conditionalFormatting sqref="I5:I164">
    <x:cfRule type="containsText" dxfId="0" priority="1" operator="containsText" text="Match"/>
    <x:cfRule type="containsText" dxfId="1" priority="2" operator="containsText" text="Review"/>
  </x:conditionalFormatting>
  <x:conditionalFormatting sqref="N5:N164">
    <x:cfRule type="containsText" dxfId="2" priority="3" operator="containsText" text="Yes"/>
  </x:conditionalFormatting>
  <x:dataValidations count="3">
    <x:dataValidation type="list" sqref="F5:F164">
      <x:formula1>"Not assessed,High,Medium,Low"</x:formula1>
    </x:dataValidation>
    <x:dataValidation type="list" sqref="J5:J164">
      <x:formula1>"Not assessed,Confirmed,Proposed,Not confirmed,Unsupported,Conflict"</x:formula1>
    </x:dataValidation>
    <x:dataValidation type="list" sqref="K5:K164">
      <x:formula1>"Not reviewed,Human approved,Hold,Reject"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aeed5ba41cb483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2" hidden="0" customWidth="1"/>
    <x:col min="3" max="3" width="45" hidden="0" customWidth="1"/>
    <x:col min="4" max="4" width="18" hidden="0" customWidth="1"/>
    <x:col min="5" max="5" width="28" hidden="0" customWidth="1"/>
    <x:col min="6" max="6" width="48" hidden="0" customWidth="1"/>
    <x:col min="7" max="7" width="24" hidden="0" customWidth="1"/>
  </x:cols>
  <x:sheetData>
    <x:row r="1" ht="34" customHeight="1">
      <x:c r="A1" s="53" t="str">
        <x:v>IMAGE Summary</x:v>
      </x:c>
      <x:c r="B1" s="53"/>
      <x:c r="C1" s="53"/>
      <x:c r="D1" s="53"/>
      <x:c r="E1" s="53"/>
      <x:c r="F1" s="53"/>
      <x:c r="G1" s="53"/>
    </x:row>
    <x:row r="2" ht="34" customHeight="1">
      <x:c r="A2" s="54" t="str">
        <x:v>Formula-driven review status. A high extraction count does not equal a safe release.</x:v>
      </x:c>
      <x:c r="B2" s="54"/>
      <x:c r="C2" s="54"/>
      <x:c r="D2" s="54"/>
      <x:c r="E2" s="54"/>
      <x:c r="F2" s="54"/>
      <x:c r="G2" s="54"/>
    </x:row>
    <x:row r="3">
      <x:c r="A3" s="55"/>
      <x:c r="B3" s="55"/>
      <x:c r="C3" s="55"/>
      <x:c r="D3" s="55"/>
      <x:c r="E3" s="55"/>
      <x:c r="F3" s="55"/>
      <x:c r="G3" s="55"/>
    </x:row>
    <x:row r="4" ht="42" customHeight="1">
      <x:c r="A4" s="56" t="str">
        <x:v>Measure</x:v>
      </x:c>
      <x:c r="B4" s="57" t="str">
        <x:v>Value</x:v>
      </x:c>
      <x:c r="C4" s="57" t="str">
        <x:v>Rule</x:v>
      </x:c>
      <x:c r="D4" s="57" t="str">
        <x:v>Status</x:v>
      </x:c>
      <x:c r="E4" s="57" t="str">
        <x:v>Human owner</x:v>
      </x:c>
      <x:c r="F4" s="57" t="str">
        <x:v>Decision</x:v>
      </x:c>
      <x:c r="G4" s="58" t="str">
        <x:v>Source</x:v>
      </x:c>
    </x:row>
    <x:row r="5" ht="48" customHeight="1">
      <x:c r="A5" s="59" t="str">
        <x:v>Planned extraction fields</x:v>
      </x:c>
      <x:c r="B5" s="60" t="n">
        <x:v>160</x:v>
      </x:c>
      <x:c r="C5" s="60" t="str">
        <x:v>All source-field tests</x:v>
      </x:c>
      <x:c r="D5" s="60" t="str">
        <x:v>Current</x:v>
      </x:c>
      <x:c r="E5" s="60" t="str">
        <x:v>Participant</x:v>
      </x:c>
      <x:c r="F5" s="60" t="str">
        <x:v>Complete all planned tests</x:v>
      </x:c>
      <x:c r="G5" s="61" t="str">
        <x:v>Extraction Review</x:v>
      </x:c>
    </x:row>
    <x:row r="6" ht="48" customHeight="1">
      <x:c r="A6" s="62" t="str">
        <x:v>Fields tested</x:v>
      </x:c>
      <x:c r="B6" s="63" t="n">
        <x:f>COUNTIF('Extraction Review'!E5:E164,"&lt;&gt;")</x:f>
        <x:v>160</x:v>
      </x:c>
      <x:c r="C6" s="63" t="str">
        <x:v>AI Extracted Value is not blank</x:v>
      </x:c>
      <x:c r="D6" s="63" t="str">
        <x:f>IF(B6&gt;0,"Review","Not started")</x:f>
        <x:v>Review</x:v>
      </x:c>
      <x:c r="E6" s="63" t="str">
        <x:v>Participant</x:v>
      </x:c>
      <x:c r="F6" s="63" t="str">
        <x:v>Continue until planned scope is complete</x:v>
      </x:c>
      <x:c r="G6" s="64" t="str">
        <x:v>Extraction Review</x:v>
      </x:c>
    </x:row>
    <x:row r="7" ht="48" customHeight="1">
      <x:c r="A7" s="62" t="str">
        <x:v>Exact matches</x:v>
      </x:c>
      <x:c r="B7" s="63" t="n">
        <x:f>COUNTIF('Extraction Review'!I5:I164,"Match")</x:f>
        <x:v>0</x:v>
      </x:c>
      <x:c r="C7" s="63" t="str">
        <x:v>Match Status = Match</x:v>
      </x:c>
      <x:c r="D7" s="63" t="str">
        <x:f>IF(B7&gt;0,"Review","Not started")</x:f>
        <x:v>Not started</x:v>
      </x:c>
      <x:c r="E7" s="63" t="str">
        <x:v>Human reviewer</x:v>
      </x:c>
      <x:c r="F7" s="63" t="str">
        <x:v>Check visual evidence despite exact text</x:v>
      </x:c>
      <x:c r="G7" s="64" t="str">
        <x:v>Extraction Review</x:v>
      </x:c>
    </x:row>
    <x:row r="8" ht="48" customHeight="1">
      <x:c r="A8" s="62" t="str">
        <x:v>Needs review</x:v>
      </x:c>
      <x:c r="B8" s="63" t="n">
        <x:f>COUNTIF('Extraction Review'!I5:I164,"Review")</x:f>
        <x:v>0</x:v>
      </x:c>
      <x:c r="C8" s="63" t="str">
        <x:v>Match Status = Review</x:v>
      </x:c>
      <x:c r="D8" s="63" t="str">
        <x:f>IF(B8&gt;0,"Review","Not started")</x:f>
        <x:v>Not started</x:v>
      </x:c>
      <x:c r="E8" s="63" t="str">
        <x:v>Human reviewer</x:v>
      </x:c>
      <x:c r="F8" s="63" t="str">
        <x:v>Correct or hold</x:v>
      </x:c>
      <x:c r="G8" s="64" t="str">
        <x:v>Extraction Review</x:v>
      </x:c>
    </x:row>
    <x:row r="9" ht="48" customHeight="1">
      <x:c r="A9" s="62" t="str">
        <x:v>Not run</x:v>
      </x:c>
      <x:c r="B9" s="63" t="n">
        <x:f>COUNTIF('Extraction Review'!I5:I164,"Not run")</x:f>
        <x:v>160</x:v>
      </x:c>
      <x:c r="C9" s="63" t="str">
        <x:v>Match Status = Not run</x:v>
      </x:c>
      <x:c r="D9" s="63" t="str">
        <x:f>IF(B9&gt;0,"Review","Not started")</x:f>
        <x:v>Review</x:v>
      </x:c>
      <x:c r="E9" s="63" t="str">
        <x:v>Participant</x:v>
      </x:c>
      <x:c r="F9" s="63" t="str">
        <x:v>Run or explain exclusion</x:v>
      </x:c>
      <x:c r="G9" s="64" t="str">
        <x:v>Extraction Review</x:v>
      </x:c>
    </x:row>
    <x:row r="10" ht="48" customHeight="1">
      <x:c r="A10" s="62" t="str">
        <x:v>Human-approved rows</x:v>
      </x:c>
      <x:c r="B10" s="63" t="n">
        <x:f>COUNTIF('Extraction Review'!K5:K164,"Human approved")</x:f>
        <x:v>0</x:v>
      </x:c>
      <x:c r="C10" s="63" t="str">
        <x:v>IMAGE Decision = Human approved</x:v>
      </x:c>
      <x:c r="D10" s="63" t="str">
        <x:f>IF(B10&gt;0,"Review","Not started")</x:f>
        <x:v>Not started</x:v>
      </x:c>
      <x:c r="E10" s="63" t="str">
        <x:v>Human reviewer</x:v>
      </x:c>
      <x:c r="F10" s="63" t="str">
        <x:v>Release only approved rows</x:v>
      </x:c>
      <x:c r="G10" s="64" t="str">
        <x:v>Extraction Review</x:v>
      </x:c>
    </x:row>
    <x:row r="11" ht="48" customHeight="1">
      <x:c r="A11" s="62" t="str">
        <x:v>Release-eligible rows</x:v>
      </x:c>
      <x:c r="B11" s="63" t="n">
        <x:f>COUNTIF('Extraction Review'!N5:N164,"Yes")</x:f>
        <x:v>0</x:v>
      </x:c>
      <x:c r="C11" s="63" t="str">
        <x:v>Exact match + human approval</x:v>
      </x:c>
      <x:c r="D11" s="63" t="str">
        <x:f>IF(B11&gt;0,"Review","Not started")</x:f>
        <x:v>Not started</x:v>
      </x:c>
      <x:c r="E11" s="63" t="str">
        <x:v>Human reviewer</x:v>
      </x:c>
      <x:c r="F11" s="63" t="str">
        <x:v>Eligible for controlled update</x:v>
      </x:c>
      <x:c r="G11" s="64" t="str">
        <x:v>Extraction Review</x:v>
      </x:c>
    </x:row>
    <x:row r="12" ht="48" customHeight="1">
      <x:c r="A12" s="65" t="str">
        <x:v>Overall transfer</x:v>
      </x:c>
      <x:c r="B12" s="66" t="str">
        <x:f>IF(AND(B8=0,B11&gt;0),"Ready for controlled update","Hold")</x:f>
        <x:v>Hold</x:v>
      </x:c>
      <x:c r="C12" s="66" t="str">
        <x:v>No review item can be auto-released</x:v>
      </x:c>
      <x:c r="D12" s="66" t="str">
        <x:f>IF(B12="Ready for controlled update","Pass","Review")</x:f>
        <x:v>Review</x:v>
      </x:c>
      <x:c r="E12" s="66" t="str">
        <x:v>Decision owner</x:v>
      </x:c>
      <x:c r="F12" s="66" t="str">
        <x:v>Release or Hold</x:v>
      </x:c>
      <x:c r="G12" s="67" t="str">
        <x:v>IMAGE + TRUST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0" hidden="0" customWidth="1"/>
    <x:col min="3" max="3" width="30" hidden="0" customWidth="1"/>
    <x:col min="4" max="4" width="20" hidden="0" customWidth="1"/>
    <x:col min="5" max="5" width="44" hidden="0" customWidth="1"/>
    <x:col min="6" max="6" width="26" hidden="0" customWidth="1"/>
    <x:col min="7" max="7" width="18" hidden="0" customWidth="1"/>
  </x:cols>
  <x:sheetData>
    <x:row r="1" ht="34" customHeight="1">
      <x:c r="A1" s="53" t="str">
        <x:v>Verified Business Record</x:v>
      </x:c>
      <x:c r="B1" s="53"/>
      <x:c r="C1" s="53"/>
      <x:c r="D1" s="53"/>
      <x:c r="E1" s="53"/>
      <x:c r="F1" s="53"/>
      <x:c r="G1" s="53"/>
    </x:row>
    <x:row r="2" ht="34" customHeight="1">
      <x:c r="A2" s="54" t="str">
        <x:v>Controlled target. Copilot may update Approved Value only for rows released by a human. Preserve every unrelated field.</x:v>
      </x:c>
      <x:c r="B2" s="54"/>
      <x:c r="C2" s="54"/>
      <x:c r="D2" s="54"/>
      <x:c r="E2" s="54"/>
      <x:c r="F2" s="54"/>
      <x:c r="G2" s="54"/>
    </x:row>
    <x:row r="3">
      <x:c r="A3" s="55"/>
      <x:c r="B3" s="55"/>
      <x:c r="C3" s="55"/>
      <x:c r="D3" s="55"/>
      <x:c r="E3" s="55"/>
      <x:c r="F3" s="55"/>
      <x:c r="G3" s="55"/>
    </x:row>
    <x:row r="4" ht="42" customHeight="1">
      <x:c r="A4" s="56" t="str">
        <x:v>Field</x:v>
      </x:c>
      <x:c r="B4" s="57" t="str">
        <x:v>Before Value</x:v>
      </x:c>
      <x:c r="C4" s="57" t="str">
        <x:v>Approved Value</x:v>
      </x:c>
      <x:c r="D4" s="57" t="str">
        <x:v>Evidence Status</x:v>
      </x:c>
      <x:c r="E4" s="57" t="str">
        <x:v>Source File</x:v>
      </x:c>
      <x:c r="F4" s="57" t="str">
        <x:v>Human Reviewer</x:v>
      </x:c>
      <x:c r="G4" s="58" t="str">
        <x:v>Approval Date</x:v>
      </x:c>
    </x:row>
    <x:row r="5" ht="42" customHeight="1">
      <x:c r="A5" s="59" t="str">
        <x:v>Request ID</x:v>
      </x:c>
      <x:c r="B5" s="60" t="str"/>
      <x:c r="C5" s="60" t="str"/>
      <x:c r="D5" s="60" t="str">
        <x:v>Not populated</x:v>
      </x:c>
      <x:c r="E5" s="60" t="str"/>
      <x:c r="F5" s="60" t="str"/>
      <x:c r="G5" s="68" t="str"/>
    </x:row>
    <x:row r="6" ht="42" customHeight="1">
      <x:c r="A6" s="62" t="str">
        <x:v>Requester</x:v>
      </x:c>
      <x:c r="B6" s="63" t="str"/>
      <x:c r="C6" s="63" t="str"/>
      <x:c r="D6" s="63" t="str">
        <x:v>Not populated</x:v>
      </x:c>
      <x:c r="E6" s="63" t="str"/>
      <x:c r="F6" s="63" t="str"/>
      <x:c r="G6" s="69" t="str"/>
    </x:row>
    <x:row r="7" ht="42" customHeight="1">
      <x:c r="A7" s="62" t="str">
        <x:v>Business unit</x:v>
      </x:c>
      <x:c r="B7" s="63" t="str"/>
      <x:c r="C7" s="63" t="str"/>
      <x:c r="D7" s="63" t="str">
        <x:v>Not populated</x:v>
      </x:c>
      <x:c r="E7" s="63" t="str"/>
      <x:c r="F7" s="63" t="str"/>
      <x:c r="G7" s="69" t="str"/>
    </x:row>
    <x:row r="8" ht="42" customHeight="1">
      <x:c r="A8" s="62" t="str">
        <x:v>Access type</x:v>
      </x:c>
      <x:c r="B8" s="63" t="str"/>
      <x:c r="C8" s="63" t="str"/>
      <x:c r="D8" s="63" t="str">
        <x:v>Not populated</x:v>
      </x:c>
      <x:c r="E8" s="63" t="str"/>
      <x:c r="F8" s="63" t="str"/>
      <x:c r="G8" s="69" t="str"/>
    </x:row>
    <x:row r="9" ht="42" customHeight="1">
      <x:c r="A9" s="62" t="str">
        <x:v>Environment</x:v>
      </x:c>
      <x:c r="B9" s="63" t="str"/>
      <x:c r="C9" s="63" t="str"/>
      <x:c r="D9" s="63" t="str">
        <x:v>Not populated</x:v>
      </x:c>
      <x:c r="E9" s="63" t="str"/>
      <x:c r="F9" s="63" t="str"/>
      <x:c r="G9" s="69" t="str"/>
    </x:row>
    <x:row r="10" ht="42" customHeight="1">
      <x:c r="A10" s="62" t="str">
        <x:v>Effective date</x:v>
      </x:c>
      <x:c r="B10" s="63" t="str"/>
      <x:c r="C10" s="63" t="str"/>
      <x:c r="D10" s="63" t="str">
        <x:v>Not populated</x:v>
      </x:c>
      <x:c r="E10" s="63" t="str"/>
      <x:c r="F10" s="63" t="str"/>
      <x:c r="G10" s="69" t="str"/>
    </x:row>
    <x:row r="11" ht="42" customHeight="1">
      <x:c r="A11" s="62" t="str">
        <x:v>End date</x:v>
      </x:c>
      <x:c r="B11" s="63" t="str"/>
      <x:c r="C11" s="63" t="str"/>
      <x:c r="D11" s="63" t="str">
        <x:v>Not populated</x:v>
      </x:c>
      <x:c r="E11" s="63" t="str"/>
      <x:c r="F11" s="63" t="str"/>
      <x:c r="G11" s="69" t="str"/>
    </x:row>
    <x:row r="12" ht="42" customHeight="1">
      <x:c r="A12" s="62" t="str">
        <x:v>Cost centre</x:v>
      </x:c>
      <x:c r="B12" s="63" t="str"/>
      <x:c r="C12" s="63" t="str"/>
      <x:c r="D12" s="63" t="str">
        <x:v>Not populated</x:v>
      </x:c>
      <x:c r="E12" s="63" t="str"/>
      <x:c r="F12" s="63" t="str"/>
      <x:c r="G12" s="69" t="str"/>
    </x:row>
    <x:row r="13" ht="42" customHeight="1">
      <x:c r="A13" s="62" t="str">
        <x:v>Licence cost</x:v>
      </x:c>
      <x:c r="B13" s="63" t="str"/>
      <x:c r="C13" s="63" t="str"/>
      <x:c r="D13" s="63" t="str">
        <x:v>Not populated</x:v>
      </x:c>
      <x:c r="E13" s="63" t="str"/>
      <x:c r="F13" s="63" t="str"/>
      <x:c r="G13" s="69" t="str"/>
    </x:row>
    <x:row r="14" ht="42" customHeight="1">
      <x:c r="A14" s="62" t="str">
        <x:v>Approver</x:v>
      </x:c>
      <x:c r="B14" s="63" t="str"/>
      <x:c r="C14" s="63" t="str"/>
      <x:c r="D14" s="63" t="str">
        <x:v>Not populated</x:v>
      </x:c>
      <x:c r="E14" s="63" t="str"/>
      <x:c r="F14" s="63" t="str"/>
      <x:c r="G14" s="69" t="str"/>
    </x:row>
    <x:row r="15" ht="42" customHeight="1">
      <x:c r="A15" s="62" t="str">
        <x:v>Status</x:v>
      </x:c>
      <x:c r="B15" s="63" t="str"/>
      <x:c r="C15" s="63" t="str"/>
      <x:c r="D15" s="63" t="str">
        <x:v>Not populated</x:v>
      </x:c>
      <x:c r="E15" s="63" t="str"/>
      <x:c r="F15" s="63" t="str"/>
      <x:c r="G15" s="69" t="str"/>
    </x:row>
    <x:row r="16" ht="42" customHeight="1">
      <x:c r="A16" s="62" t="str">
        <x:v>Manager approval</x:v>
      </x:c>
      <x:c r="B16" s="63" t="str"/>
      <x:c r="C16" s="63" t="str"/>
      <x:c r="D16" s="63" t="str">
        <x:v>Not populated</x:v>
      </x:c>
      <x:c r="E16" s="63" t="str"/>
      <x:c r="F16" s="63" t="str"/>
      <x:c r="G16" s="69" t="str"/>
    </x:row>
    <x:row r="17" ht="42" customHeight="1">
      <x:c r="A17" s="62" t="str">
        <x:v>Security approval</x:v>
      </x:c>
      <x:c r="B17" s="63" t="str"/>
      <x:c r="C17" s="63" t="str"/>
      <x:c r="D17" s="63" t="str">
        <x:v>Not populated</x:v>
      </x:c>
      <x:c r="E17" s="63" t="str"/>
      <x:c r="F17" s="63" t="str"/>
      <x:c r="G17" s="69" t="str"/>
    </x:row>
    <x:row r="18" ht="42" customHeight="1">
      <x:c r="A18" s="62" t="str">
        <x:v>MFA required</x:v>
      </x:c>
      <x:c r="B18" s="63" t="str"/>
      <x:c r="C18" s="63" t="str"/>
      <x:c r="D18" s="63" t="str">
        <x:v>Not populated</x:v>
      </x:c>
      <x:c r="E18" s="63" t="str"/>
      <x:c r="F18" s="63" t="str"/>
      <x:c r="G18" s="69" t="str"/>
    </x:row>
    <x:row r="19" ht="42" customHeight="1">
      <x:c r="A19" s="65" t="str">
        <x:v>Privileged access</x:v>
      </x:c>
      <x:c r="B19" s="66" t="str"/>
      <x:c r="C19" s="66" t="str"/>
      <x:c r="D19" s="66" t="str">
        <x:v>Not populated</x:v>
      </x:c>
      <x:c r="E19" s="66" t="str"/>
      <x:c r="F19" s="66" t="str"/>
      <x:c r="G19" s="70" t="str"/>
    </x:row>
  </x:sheetData>
  <x:mergeCells>
    <x:mergeCell ref="A1:G1"/>
    <x:mergeCell ref="A2:G2"/>
  </x:mergeCells>
  <x:dataValidations count="1">
    <x:dataValidation type="list" sqref="D5:D19">
      <x:formula1>"Not populated,Human approved,Hold,Superseded"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f31f9b363d54d4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34" hidden="0" customWidth="1"/>
    <x:col min="4" max="4" width="30" hidden="0" customWidth="1"/>
    <x:col min="5" max="5" width="30" hidden="0" customWidth="1"/>
    <x:col min="6" max="6" width="44" hidden="0" customWidth="1"/>
    <x:col min="7" max="7" width="24" hidden="0" customWidth="1"/>
    <x:col min="8" max="8" width="22" hidden="0" customWidth="1"/>
    <x:col min="9" max="9" width="26" hidden="0" customWidth="1"/>
    <x:col min="10" max="10" width="48" hidden="0" customWidth="1"/>
  </x:cols>
  <x:sheetData>
    <x:row r="1" ht="34" customHeight="1">
      <x:c r="A1" s="53" t="str">
        <x:v>Audit Log</x:v>
      </x:c>
      <x:c r="B1" s="53"/>
      <x:c r="C1" s="53"/>
      <x:c r="D1" s="53"/>
      <x:c r="E1" s="53"/>
      <x:c r="F1" s="53"/>
      <x:c r="G1" s="53"/>
      <x:c r="H1" s="53"/>
      <x:c r="I1" s="53"/>
      <x:c r="J1" s="53"/>
    </x:row>
    <x:row r="2" ht="34" customHeight="1">
      <x:c r="A2" s="54" t="str">
        <x:v>Append one row for every controlled update. Never overwrite the original extraction evidence.</x:v>
      </x:c>
      <x:c r="B2" s="54"/>
      <x:c r="C2" s="54"/>
      <x:c r="D2" s="54"/>
      <x:c r="E2" s="54"/>
      <x:c r="F2" s="54"/>
      <x:c r="G2" s="54"/>
      <x:c r="H2" s="54"/>
      <x:c r="I2" s="54"/>
      <x:c r="J2" s="54"/>
    </x:row>
    <x:row r="3">
      <x:c r="A3" s="55"/>
      <x:c r="B3" s="55"/>
      <x:c r="C3" s="55"/>
      <x:c r="D3" s="55"/>
      <x:c r="E3" s="55"/>
      <x:c r="F3" s="55"/>
      <x:c r="G3" s="55"/>
      <x:c r="H3" s="55"/>
      <x:c r="I3" s="55"/>
      <x:c r="J3" s="55"/>
    </x:row>
    <x:row r="4" ht="42" customHeight="1">
      <x:c r="A4" s="56" t="str">
        <x:v>Change ID</x:v>
      </x:c>
      <x:c r="B4" s="57" t="str">
        <x:v>Timestamp</x:v>
      </x:c>
      <x:c r="C4" s="57" t="str">
        <x:v>Field</x:v>
      </x:c>
      <x:c r="D4" s="57" t="str">
        <x:v>Previous Value</x:v>
      </x:c>
      <x:c r="E4" s="57" t="str">
        <x:v>New Value</x:v>
      </x:c>
      <x:c r="F4" s="57" t="str">
        <x:v>Source File</x:v>
      </x:c>
      <x:c r="G4" s="57" t="str">
        <x:v>Source Region</x:v>
      </x:c>
      <x:c r="H4" s="57" t="str">
        <x:v>IMAGE Decision</x:v>
      </x:c>
      <x:c r="I4" s="57" t="str">
        <x:v>Approved By</x:v>
      </x:c>
      <x:c r="J4" s="58" t="str">
        <x:v>Notes</x:v>
      </x:c>
    </x:row>
    <x:row r="5" ht="42" customHeight="1">
      <x:c r="A5" s="59" t="str">
        <x:v>CH-001</x:v>
      </x:c>
      <x:c r="B5" s="71" t="str"/>
      <x:c r="C5" s="60" t="str"/>
      <x:c r="D5" s="60" t="str"/>
      <x:c r="E5" s="60" t="str"/>
      <x:c r="F5" s="60" t="str"/>
      <x:c r="G5" s="60" t="str"/>
      <x:c r="H5" s="60" t="str">
        <x:v>Not reviewed</x:v>
      </x:c>
      <x:c r="I5" s="60" t="str"/>
      <x:c r="J5" s="61" t="str"/>
    </x:row>
    <x:row r="6" ht="42" customHeight="1">
      <x:c r="A6" s="62" t="str">
        <x:v>CH-002</x:v>
      </x:c>
      <x:c r="B6" s="72" t="str"/>
      <x:c r="C6" s="63" t="str"/>
      <x:c r="D6" s="63" t="str"/>
      <x:c r="E6" s="63" t="str"/>
      <x:c r="F6" s="63" t="str"/>
      <x:c r="G6" s="63" t="str"/>
      <x:c r="H6" s="63" t="str">
        <x:v>Not reviewed</x:v>
      </x:c>
      <x:c r="I6" s="63" t="str"/>
      <x:c r="J6" s="64" t="str"/>
    </x:row>
    <x:row r="7" ht="42" customHeight="1">
      <x:c r="A7" s="62" t="str">
        <x:v>CH-003</x:v>
      </x:c>
      <x:c r="B7" s="72" t="str"/>
      <x:c r="C7" s="63" t="str"/>
      <x:c r="D7" s="63" t="str"/>
      <x:c r="E7" s="63" t="str"/>
      <x:c r="F7" s="63" t="str"/>
      <x:c r="G7" s="63" t="str"/>
      <x:c r="H7" s="63" t="str">
        <x:v>Not reviewed</x:v>
      </x:c>
      <x:c r="I7" s="63" t="str"/>
      <x:c r="J7" s="64" t="str"/>
    </x:row>
    <x:row r="8" ht="42" customHeight="1">
      <x:c r="A8" s="62" t="str">
        <x:v>CH-004</x:v>
      </x:c>
      <x:c r="B8" s="72" t="str"/>
      <x:c r="C8" s="63" t="str"/>
      <x:c r="D8" s="63" t="str"/>
      <x:c r="E8" s="63" t="str"/>
      <x:c r="F8" s="63" t="str"/>
      <x:c r="G8" s="63" t="str"/>
      <x:c r="H8" s="63" t="str">
        <x:v>Not reviewed</x:v>
      </x:c>
      <x:c r="I8" s="63" t="str"/>
      <x:c r="J8" s="64" t="str"/>
    </x:row>
    <x:row r="9" ht="42" customHeight="1">
      <x:c r="A9" s="62" t="str">
        <x:v>CH-005</x:v>
      </x:c>
      <x:c r="B9" s="72" t="str"/>
      <x:c r="C9" s="63" t="str"/>
      <x:c r="D9" s="63" t="str"/>
      <x:c r="E9" s="63" t="str"/>
      <x:c r="F9" s="63" t="str"/>
      <x:c r="G9" s="63" t="str"/>
      <x:c r="H9" s="63" t="str">
        <x:v>Not reviewed</x:v>
      </x:c>
      <x:c r="I9" s="63" t="str"/>
      <x:c r="J9" s="64" t="str"/>
    </x:row>
    <x:row r="10" ht="42" customHeight="1">
      <x:c r="A10" s="62" t="str">
        <x:v>CH-006</x:v>
      </x:c>
      <x:c r="B10" s="72" t="str"/>
      <x:c r="C10" s="63" t="str"/>
      <x:c r="D10" s="63" t="str"/>
      <x:c r="E10" s="63" t="str"/>
      <x:c r="F10" s="63" t="str"/>
      <x:c r="G10" s="63" t="str"/>
      <x:c r="H10" s="63" t="str">
        <x:v>Not reviewed</x:v>
      </x:c>
      <x:c r="I10" s="63" t="str"/>
      <x:c r="J10" s="64" t="str"/>
    </x:row>
    <x:row r="11" ht="42" customHeight="1">
      <x:c r="A11" s="62" t="str">
        <x:v>CH-007</x:v>
      </x:c>
      <x:c r="B11" s="72" t="str"/>
      <x:c r="C11" s="63" t="str"/>
      <x:c r="D11" s="63" t="str"/>
      <x:c r="E11" s="63" t="str"/>
      <x:c r="F11" s="63" t="str"/>
      <x:c r="G11" s="63" t="str"/>
      <x:c r="H11" s="63" t="str">
        <x:v>Not reviewed</x:v>
      </x:c>
      <x:c r="I11" s="63" t="str"/>
      <x:c r="J11" s="64" t="str"/>
    </x:row>
    <x:row r="12" ht="42" customHeight="1">
      <x:c r="A12" s="62" t="str">
        <x:v>CH-008</x:v>
      </x:c>
      <x:c r="B12" s="72" t="str"/>
      <x:c r="C12" s="63" t="str"/>
      <x:c r="D12" s="63" t="str"/>
      <x:c r="E12" s="63" t="str"/>
      <x:c r="F12" s="63" t="str"/>
      <x:c r="G12" s="63" t="str"/>
      <x:c r="H12" s="63" t="str">
        <x:v>Not reviewed</x:v>
      </x:c>
      <x:c r="I12" s="63" t="str"/>
      <x:c r="J12" s="64" t="str"/>
    </x:row>
    <x:row r="13" ht="42" customHeight="1">
      <x:c r="A13" s="62" t="str">
        <x:v>CH-009</x:v>
      </x:c>
      <x:c r="B13" s="72" t="str"/>
      <x:c r="C13" s="63" t="str"/>
      <x:c r="D13" s="63" t="str"/>
      <x:c r="E13" s="63" t="str"/>
      <x:c r="F13" s="63" t="str"/>
      <x:c r="G13" s="63" t="str"/>
      <x:c r="H13" s="63" t="str">
        <x:v>Not reviewed</x:v>
      </x:c>
      <x:c r="I13" s="63" t="str"/>
      <x:c r="J13" s="64" t="str"/>
    </x:row>
    <x:row r="14" ht="42" customHeight="1">
      <x:c r="A14" s="62" t="str">
        <x:v>CH-010</x:v>
      </x:c>
      <x:c r="B14" s="72" t="str"/>
      <x:c r="C14" s="63" t="str"/>
      <x:c r="D14" s="63" t="str"/>
      <x:c r="E14" s="63" t="str"/>
      <x:c r="F14" s="63" t="str"/>
      <x:c r="G14" s="63" t="str"/>
      <x:c r="H14" s="63" t="str">
        <x:v>Not reviewed</x:v>
      </x:c>
      <x:c r="I14" s="63" t="str"/>
      <x:c r="J14" s="64" t="str"/>
    </x:row>
    <x:row r="15" ht="42" customHeight="1">
      <x:c r="A15" s="62" t="str">
        <x:v>CH-011</x:v>
      </x:c>
      <x:c r="B15" s="72" t="str"/>
      <x:c r="C15" s="63" t="str"/>
      <x:c r="D15" s="63" t="str"/>
      <x:c r="E15" s="63" t="str"/>
      <x:c r="F15" s="63" t="str"/>
      <x:c r="G15" s="63" t="str"/>
      <x:c r="H15" s="63" t="str">
        <x:v>Not reviewed</x:v>
      </x:c>
      <x:c r="I15" s="63" t="str"/>
      <x:c r="J15" s="64" t="str"/>
    </x:row>
    <x:row r="16" ht="42" customHeight="1">
      <x:c r="A16" s="62" t="str">
        <x:v>CH-012</x:v>
      </x:c>
      <x:c r="B16" s="72" t="str"/>
      <x:c r="C16" s="63" t="str"/>
      <x:c r="D16" s="63" t="str"/>
      <x:c r="E16" s="63" t="str"/>
      <x:c r="F16" s="63" t="str"/>
      <x:c r="G16" s="63" t="str"/>
      <x:c r="H16" s="63" t="str">
        <x:v>Not reviewed</x:v>
      </x:c>
      <x:c r="I16" s="63" t="str"/>
      <x:c r="J16" s="64" t="str"/>
    </x:row>
    <x:row r="17" ht="42" customHeight="1">
      <x:c r="A17" s="62" t="str">
        <x:v>CH-013</x:v>
      </x:c>
      <x:c r="B17" s="72" t="str"/>
      <x:c r="C17" s="63" t="str"/>
      <x:c r="D17" s="63" t="str"/>
      <x:c r="E17" s="63" t="str"/>
      <x:c r="F17" s="63" t="str"/>
      <x:c r="G17" s="63" t="str"/>
      <x:c r="H17" s="63" t="str">
        <x:v>Not reviewed</x:v>
      </x:c>
      <x:c r="I17" s="63" t="str"/>
      <x:c r="J17" s="64" t="str"/>
    </x:row>
    <x:row r="18" ht="42" customHeight="1">
      <x:c r="A18" s="62" t="str">
        <x:v>CH-014</x:v>
      </x:c>
      <x:c r="B18" s="72" t="str"/>
      <x:c r="C18" s="63" t="str"/>
      <x:c r="D18" s="63" t="str"/>
      <x:c r="E18" s="63" t="str"/>
      <x:c r="F18" s="63" t="str"/>
      <x:c r="G18" s="63" t="str"/>
      <x:c r="H18" s="63" t="str">
        <x:v>Not reviewed</x:v>
      </x:c>
      <x:c r="I18" s="63" t="str"/>
      <x:c r="J18" s="64" t="str"/>
    </x:row>
    <x:row r="19" ht="42" customHeight="1">
      <x:c r="A19" s="62" t="str">
        <x:v>CH-015</x:v>
      </x:c>
      <x:c r="B19" s="72" t="str"/>
      <x:c r="C19" s="63" t="str"/>
      <x:c r="D19" s="63" t="str"/>
      <x:c r="E19" s="63" t="str"/>
      <x:c r="F19" s="63" t="str"/>
      <x:c r="G19" s="63" t="str"/>
      <x:c r="H19" s="63" t="str">
        <x:v>Not reviewed</x:v>
      </x:c>
      <x:c r="I19" s="63" t="str"/>
      <x:c r="J19" s="64" t="str"/>
    </x:row>
    <x:row r="20" ht="42" customHeight="1">
      <x:c r="A20" s="62" t="str">
        <x:v>CH-016</x:v>
      </x:c>
      <x:c r="B20" s="72" t="str"/>
      <x:c r="C20" s="63" t="str"/>
      <x:c r="D20" s="63" t="str"/>
      <x:c r="E20" s="63" t="str"/>
      <x:c r="F20" s="63" t="str"/>
      <x:c r="G20" s="63" t="str"/>
      <x:c r="H20" s="63" t="str">
        <x:v>Not reviewed</x:v>
      </x:c>
      <x:c r="I20" s="63" t="str"/>
      <x:c r="J20" s="64" t="str"/>
    </x:row>
    <x:row r="21" ht="42" customHeight="1">
      <x:c r="A21" s="62" t="str">
        <x:v>CH-017</x:v>
      </x:c>
      <x:c r="B21" s="72" t="str"/>
      <x:c r="C21" s="63" t="str"/>
      <x:c r="D21" s="63" t="str"/>
      <x:c r="E21" s="63" t="str"/>
      <x:c r="F21" s="63" t="str"/>
      <x:c r="G21" s="63" t="str"/>
      <x:c r="H21" s="63" t="str">
        <x:v>Not reviewed</x:v>
      </x:c>
      <x:c r="I21" s="63" t="str"/>
      <x:c r="J21" s="64" t="str"/>
    </x:row>
    <x:row r="22" ht="42" customHeight="1">
      <x:c r="A22" s="62" t="str">
        <x:v>CH-018</x:v>
      </x:c>
      <x:c r="B22" s="72" t="str"/>
      <x:c r="C22" s="63" t="str"/>
      <x:c r="D22" s="63" t="str"/>
      <x:c r="E22" s="63" t="str"/>
      <x:c r="F22" s="63" t="str"/>
      <x:c r="G22" s="63" t="str"/>
      <x:c r="H22" s="63" t="str">
        <x:v>Not reviewed</x:v>
      </x:c>
      <x:c r="I22" s="63" t="str"/>
      <x:c r="J22" s="64" t="str"/>
    </x:row>
    <x:row r="23" ht="42" customHeight="1">
      <x:c r="A23" s="62" t="str">
        <x:v>CH-019</x:v>
      </x:c>
      <x:c r="B23" s="72" t="str"/>
      <x:c r="C23" s="63" t="str"/>
      <x:c r="D23" s="63" t="str"/>
      <x:c r="E23" s="63" t="str"/>
      <x:c r="F23" s="63" t="str"/>
      <x:c r="G23" s="63" t="str"/>
      <x:c r="H23" s="63" t="str">
        <x:v>Not reviewed</x:v>
      </x:c>
      <x:c r="I23" s="63" t="str"/>
      <x:c r="J23" s="64" t="str"/>
    </x:row>
    <x:row r="24" ht="42" customHeight="1">
      <x:c r="A24" s="62" t="str">
        <x:v>CH-020</x:v>
      </x:c>
      <x:c r="B24" s="72" t="str"/>
      <x:c r="C24" s="63" t="str"/>
      <x:c r="D24" s="63" t="str"/>
      <x:c r="E24" s="63" t="str"/>
      <x:c r="F24" s="63" t="str"/>
      <x:c r="G24" s="63" t="str"/>
      <x:c r="H24" s="63" t="str">
        <x:v>Not reviewed</x:v>
      </x:c>
      <x:c r="I24" s="63" t="str"/>
      <x:c r="J24" s="64" t="str"/>
    </x:row>
    <x:row r="25" ht="42" customHeight="1">
      <x:c r="A25" s="62" t="str">
        <x:v>CH-021</x:v>
      </x:c>
      <x:c r="B25" s="72" t="str"/>
      <x:c r="C25" s="63" t="str"/>
      <x:c r="D25" s="63" t="str"/>
      <x:c r="E25" s="63" t="str"/>
      <x:c r="F25" s="63" t="str"/>
      <x:c r="G25" s="63" t="str"/>
      <x:c r="H25" s="63" t="str">
        <x:v>Not reviewed</x:v>
      </x:c>
      <x:c r="I25" s="63" t="str"/>
      <x:c r="J25" s="64" t="str"/>
    </x:row>
    <x:row r="26" ht="42" customHeight="1">
      <x:c r="A26" s="62" t="str">
        <x:v>CH-022</x:v>
      </x:c>
      <x:c r="B26" s="72" t="str"/>
      <x:c r="C26" s="63" t="str"/>
      <x:c r="D26" s="63" t="str"/>
      <x:c r="E26" s="63" t="str"/>
      <x:c r="F26" s="63" t="str"/>
      <x:c r="G26" s="63" t="str"/>
      <x:c r="H26" s="63" t="str">
        <x:v>Not reviewed</x:v>
      </x:c>
      <x:c r="I26" s="63" t="str"/>
      <x:c r="J26" s="64" t="str"/>
    </x:row>
    <x:row r="27" ht="42" customHeight="1">
      <x:c r="A27" s="62" t="str">
        <x:v>CH-023</x:v>
      </x:c>
      <x:c r="B27" s="72" t="str"/>
      <x:c r="C27" s="63" t="str"/>
      <x:c r="D27" s="63" t="str"/>
      <x:c r="E27" s="63" t="str"/>
      <x:c r="F27" s="63" t="str"/>
      <x:c r="G27" s="63" t="str"/>
      <x:c r="H27" s="63" t="str">
        <x:v>Not reviewed</x:v>
      </x:c>
      <x:c r="I27" s="63" t="str"/>
      <x:c r="J27" s="64" t="str"/>
    </x:row>
    <x:row r="28" ht="42" customHeight="1">
      <x:c r="A28" s="62" t="str">
        <x:v>CH-024</x:v>
      </x:c>
      <x:c r="B28" s="72" t="str"/>
      <x:c r="C28" s="63" t="str"/>
      <x:c r="D28" s="63" t="str"/>
      <x:c r="E28" s="63" t="str"/>
      <x:c r="F28" s="63" t="str"/>
      <x:c r="G28" s="63" t="str"/>
      <x:c r="H28" s="63" t="str">
        <x:v>Not reviewed</x:v>
      </x:c>
      <x:c r="I28" s="63" t="str"/>
      <x:c r="J28" s="64" t="str"/>
    </x:row>
    <x:row r="29" ht="42" customHeight="1">
      <x:c r="A29" s="62" t="str">
        <x:v>CH-025</x:v>
      </x:c>
      <x:c r="B29" s="72" t="str"/>
      <x:c r="C29" s="63" t="str"/>
      <x:c r="D29" s="63" t="str"/>
      <x:c r="E29" s="63" t="str"/>
      <x:c r="F29" s="63" t="str"/>
      <x:c r="G29" s="63" t="str"/>
      <x:c r="H29" s="63" t="str">
        <x:v>Not reviewed</x:v>
      </x:c>
      <x:c r="I29" s="63" t="str"/>
      <x:c r="J29" s="64" t="str"/>
    </x:row>
    <x:row r="30" ht="42" customHeight="1">
      <x:c r="A30" s="62" t="str">
        <x:v>CH-026</x:v>
      </x:c>
      <x:c r="B30" s="72" t="str"/>
      <x:c r="C30" s="63" t="str"/>
      <x:c r="D30" s="63" t="str"/>
      <x:c r="E30" s="63" t="str"/>
      <x:c r="F30" s="63" t="str"/>
      <x:c r="G30" s="63" t="str"/>
      <x:c r="H30" s="63" t="str">
        <x:v>Not reviewed</x:v>
      </x:c>
      <x:c r="I30" s="63" t="str"/>
      <x:c r="J30" s="64" t="str"/>
    </x:row>
    <x:row r="31" ht="42" customHeight="1">
      <x:c r="A31" s="62" t="str">
        <x:v>CH-027</x:v>
      </x:c>
      <x:c r="B31" s="72" t="str"/>
      <x:c r="C31" s="63" t="str"/>
      <x:c r="D31" s="63" t="str"/>
      <x:c r="E31" s="63" t="str"/>
      <x:c r="F31" s="63" t="str"/>
      <x:c r="G31" s="63" t="str"/>
      <x:c r="H31" s="63" t="str">
        <x:v>Not reviewed</x:v>
      </x:c>
      <x:c r="I31" s="63" t="str"/>
      <x:c r="J31" s="64" t="str"/>
    </x:row>
    <x:row r="32" ht="42" customHeight="1">
      <x:c r="A32" s="62" t="str">
        <x:v>CH-028</x:v>
      </x:c>
      <x:c r="B32" s="72" t="str"/>
      <x:c r="C32" s="63" t="str"/>
      <x:c r="D32" s="63" t="str"/>
      <x:c r="E32" s="63" t="str"/>
      <x:c r="F32" s="63" t="str"/>
      <x:c r="G32" s="63" t="str"/>
      <x:c r="H32" s="63" t="str">
        <x:v>Not reviewed</x:v>
      </x:c>
      <x:c r="I32" s="63" t="str"/>
      <x:c r="J32" s="64" t="str"/>
    </x:row>
    <x:row r="33" ht="42" customHeight="1">
      <x:c r="A33" s="62" t="str">
        <x:v>CH-029</x:v>
      </x:c>
      <x:c r="B33" s="72" t="str"/>
      <x:c r="C33" s="63" t="str"/>
      <x:c r="D33" s="63" t="str"/>
      <x:c r="E33" s="63" t="str"/>
      <x:c r="F33" s="63" t="str"/>
      <x:c r="G33" s="63" t="str"/>
      <x:c r="H33" s="63" t="str">
        <x:v>Not reviewed</x:v>
      </x:c>
      <x:c r="I33" s="63" t="str"/>
      <x:c r="J33" s="64" t="str"/>
    </x:row>
    <x:row r="34" ht="42" customHeight="1">
      <x:c r="A34" s="65" t="str">
        <x:v>CH-030</x:v>
      </x:c>
      <x:c r="B34" s="73" t="str"/>
      <x:c r="C34" s="66" t="str"/>
      <x:c r="D34" s="66" t="str"/>
      <x:c r="E34" s="66" t="str"/>
      <x:c r="F34" s="66" t="str"/>
      <x:c r="G34" s="66" t="str"/>
      <x:c r="H34" s="66" t="str">
        <x:v>Not reviewed</x:v>
      </x:c>
      <x:c r="I34" s="66" t="str"/>
      <x:c r="J34" s="67" t="str"/>
    </x:row>
  </x:sheetData>
  <x:mergeCells>
    <x:mergeCell ref="A1:J1"/>
    <x:mergeCell ref="A2:J2"/>
  </x:mergeCells>
  <x:dataValidations count="1">
    <x:dataValidation type="list" sqref="H5:H34">
      <x:formula1>"Not reviewed,Human approved,Hold,Reject"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24" hidden="0" customWidth="1"/>
    <x:col min="4" max="4" width="18" hidden="0" customWidth="1"/>
  </x:cols>
  <x:sheetData>
    <x:row r="1" ht="42" customHeight="1">
      <x:c r="A1" s="56" t="str">
        <x:v>Confidence</x:v>
      </x:c>
      <x:c r="B1" s="57" t="str">
        <x:v>Evidence Status</x:v>
      </x:c>
      <x:c r="C1" s="57" t="str">
        <x:v>IMAGE Decision</x:v>
      </x:c>
      <x:c r="D1" s="58" t="str">
        <x:v>Release</x:v>
      </x:c>
    </x:row>
    <x:row r="2">
      <x:c r="A2" s="59" t="str">
        <x:v>Not assessed</x:v>
      </x:c>
      <x:c r="B2" s="60" t="str">
        <x:v>Not assessed</x:v>
      </x:c>
      <x:c r="C2" s="60" t="str">
        <x:v>Not reviewed</x:v>
      </x:c>
      <x:c r="D2" s="61" t="str">
        <x:v>No</x:v>
      </x:c>
    </x:row>
    <x:row r="3">
      <x:c r="A3" s="62" t="str">
        <x:v>High</x:v>
      </x:c>
      <x:c r="B3" s="63" t="str">
        <x:v>Confirmed</x:v>
      </x:c>
      <x:c r="C3" s="63" t="str">
        <x:v>Human approved</x:v>
      </x:c>
      <x:c r="D3" s="64" t="str">
        <x:v>Yes</x:v>
      </x:c>
    </x:row>
    <x:row r="4">
      <x:c r="A4" s="62" t="str">
        <x:v>Medium</x:v>
      </x:c>
      <x:c r="B4" s="63" t="str">
        <x:v>Proposed</x:v>
      </x:c>
      <x:c r="C4" s="63" t="str">
        <x:v>Hold</x:v>
      </x:c>
      <x:c r="D4" s="64" t="str"/>
    </x:row>
    <x:row r="5">
      <x:c r="A5" s="62" t="str">
        <x:v>Low</x:v>
      </x:c>
      <x:c r="B5" s="63" t="str">
        <x:v>Not confirmed</x:v>
      </x:c>
      <x:c r="C5" s="63" t="str">
        <x:v>Reject</x:v>
      </x:c>
      <x:c r="D5" s="64" t="str"/>
    </x:row>
    <x:row r="6">
      <x:c r="A6" s="62" t="str"/>
      <x:c r="B6" s="63" t="str">
        <x:v>Unsupported</x:v>
      </x:c>
      <x:c r="C6" s="63" t="str"/>
      <x:c r="D6" s="64" t="str"/>
    </x:row>
    <x:row r="7">
      <x:c r="A7" s="65" t="str"/>
      <x:c r="B7" s="66" t="str">
        <x:v>Conflict</x:v>
      </x:c>
      <x:c r="C7" s="66" t="str"/>
      <x:c r="D7" s="67" t="str"/>
    </x:row>
  </x:sheetData>
  <x:pageMargins left="0.7" right="0.7" top="0.75" bottom="0.75" header="0.3" footer="0.3"/>
</x:worksheet>
</file>